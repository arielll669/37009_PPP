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ownloads\metodologia\tallos\SLR_SmartAgriculture\00_Planificacion\"/>
    </mc:Choice>
  </mc:AlternateContent>
  <xr:revisionPtr revIDLastSave="0" documentId="13_ncr:1_{5740DDA8-B633-4A35-A18E-040D05AFA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el" sheetId="1" r:id="rId1"/>
    <sheet name="Itinerario" sheetId="2" r:id="rId2"/>
    <sheet name="Avances" sheetId="3" r:id="rId3"/>
    <sheet name="Checklist_Protocolo" sheetId="4" r:id="rId4"/>
  </sheets>
  <definedNames>
    <definedName name="_xlnm._FilterDatabase" localSheetId="1" hidden="1">Itinerario!$A$4:$P$84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4" l="1"/>
  <c r="J16" i="3"/>
  <c r="J15" i="3"/>
  <c r="J14" i="3"/>
  <c r="J13" i="3"/>
  <c r="J12" i="3"/>
  <c r="J11" i="3"/>
  <c r="J10" i="3"/>
  <c r="J9" i="3"/>
  <c r="J8" i="3"/>
  <c r="J7" i="3"/>
  <c r="J6" i="3"/>
  <c r="J5" i="3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E24" i="1"/>
  <c r="D24" i="1"/>
  <c r="G23" i="1"/>
  <c r="D23" i="1"/>
  <c r="C19" i="1"/>
  <c r="C18" i="1"/>
  <c r="C17" i="1"/>
  <c r="C15" i="1"/>
  <c r="C14" i="1"/>
  <c r="C8" i="1"/>
  <c r="C7" i="1"/>
  <c r="H85" i="2"/>
  <c r="N84" i="2"/>
  <c r="M84" i="2"/>
  <c r="C84" i="2"/>
  <c r="N83" i="2"/>
  <c r="M83" i="2"/>
  <c r="C83" i="2"/>
  <c r="N82" i="2"/>
  <c r="M82" i="2"/>
  <c r="C82" i="2"/>
  <c r="N81" i="2"/>
  <c r="M81" i="2"/>
  <c r="C81" i="2"/>
  <c r="N80" i="2"/>
  <c r="M80" i="2"/>
  <c r="C80" i="2"/>
  <c r="N79" i="2"/>
  <c r="M79" i="2"/>
  <c r="C79" i="2"/>
  <c r="N78" i="2"/>
  <c r="M78" i="2"/>
  <c r="C78" i="2"/>
  <c r="N77" i="2"/>
  <c r="M77" i="2"/>
  <c r="C77" i="2"/>
  <c r="N76" i="2"/>
  <c r="M76" i="2"/>
  <c r="C76" i="2"/>
  <c r="N75" i="2"/>
  <c r="M75" i="2"/>
  <c r="C75" i="2"/>
  <c r="N74" i="2"/>
  <c r="M74" i="2"/>
  <c r="C74" i="2"/>
  <c r="N73" i="2"/>
  <c r="M73" i="2"/>
  <c r="C73" i="2"/>
  <c r="N72" i="2"/>
  <c r="M72" i="2"/>
  <c r="C72" i="2"/>
  <c r="N71" i="2"/>
  <c r="M71" i="2"/>
  <c r="C71" i="2"/>
  <c r="N70" i="2"/>
  <c r="M70" i="2"/>
  <c r="C70" i="2"/>
  <c r="N69" i="2"/>
  <c r="M69" i="2"/>
  <c r="C69" i="2"/>
  <c r="N68" i="2"/>
  <c r="M68" i="2"/>
  <c r="C68" i="2"/>
  <c r="N67" i="2"/>
  <c r="M67" i="2"/>
  <c r="C67" i="2"/>
  <c r="N66" i="2"/>
  <c r="M66" i="2"/>
  <c r="C66" i="2"/>
  <c r="N65" i="2"/>
  <c r="M65" i="2"/>
  <c r="C65" i="2"/>
  <c r="N64" i="2"/>
  <c r="M64" i="2"/>
  <c r="C64" i="2"/>
  <c r="N63" i="2"/>
  <c r="M63" i="2"/>
  <c r="C63" i="2"/>
  <c r="N62" i="2"/>
  <c r="M62" i="2"/>
  <c r="C62" i="2"/>
  <c r="N61" i="2"/>
  <c r="M61" i="2"/>
  <c r="C61" i="2"/>
  <c r="N60" i="2"/>
  <c r="M60" i="2"/>
  <c r="C60" i="2"/>
  <c r="N59" i="2"/>
  <c r="M59" i="2"/>
  <c r="C59" i="2"/>
  <c r="N58" i="2"/>
  <c r="M58" i="2"/>
  <c r="C58" i="2"/>
  <c r="N57" i="2"/>
  <c r="M57" i="2"/>
  <c r="C57" i="2"/>
  <c r="N56" i="2"/>
  <c r="M56" i="2"/>
  <c r="C56" i="2"/>
  <c r="N55" i="2"/>
  <c r="M55" i="2"/>
  <c r="C55" i="2"/>
  <c r="N54" i="2"/>
  <c r="M54" i="2"/>
  <c r="C54" i="2"/>
  <c r="N53" i="2"/>
  <c r="M53" i="2"/>
  <c r="C53" i="2"/>
  <c r="N52" i="2"/>
  <c r="M52" i="2"/>
  <c r="C52" i="2"/>
  <c r="N51" i="2"/>
  <c r="M51" i="2"/>
  <c r="C51" i="2"/>
  <c r="N50" i="2"/>
  <c r="M50" i="2"/>
  <c r="C50" i="2"/>
  <c r="N49" i="2"/>
  <c r="M49" i="2"/>
  <c r="C49" i="2"/>
  <c r="N48" i="2"/>
  <c r="M48" i="2"/>
  <c r="C48" i="2"/>
  <c r="N47" i="2"/>
  <c r="M47" i="2"/>
  <c r="C47" i="2"/>
  <c r="N46" i="2"/>
  <c r="M46" i="2"/>
  <c r="C46" i="2"/>
  <c r="N45" i="2"/>
  <c r="M45" i="2"/>
  <c r="C45" i="2"/>
  <c r="N44" i="2"/>
  <c r="M44" i="2"/>
  <c r="C44" i="2"/>
  <c r="N43" i="2"/>
  <c r="M43" i="2"/>
  <c r="C43" i="2"/>
  <c r="N42" i="2"/>
  <c r="M42" i="2"/>
  <c r="C42" i="2"/>
  <c r="N41" i="2"/>
  <c r="M41" i="2"/>
  <c r="C41" i="2"/>
  <c r="N40" i="2"/>
  <c r="M40" i="2"/>
  <c r="C40" i="2"/>
  <c r="N39" i="2"/>
  <c r="M39" i="2"/>
  <c r="C39" i="2"/>
  <c r="N38" i="2"/>
  <c r="M38" i="2"/>
  <c r="C38" i="2"/>
  <c r="N37" i="2"/>
  <c r="M37" i="2"/>
  <c r="C37" i="2"/>
  <c r="N36" i="2"/>
  <c r="M36" i="2"/>
  <c r="C36" i="2"/>
  <c r="N35" i="2"/>
  <c r="M35" i="2"/>
  <c r="C35" i="2"/>
  <c r="N34" i="2"/>
  <c r="M34" i="2"/>
  <c r="C34" i="2"/>
  <c r="N33" i="2"/>
  <c r="M33" i="2"/>
  <c r="C33" i="2"/>
  <c r="N32" i="2"/>
  <c r="M32" i="2"/>
  <c r="C32" i="2"/>
  <c r="N31" i="2"/>
  <c r="M31" i="2"/>
  <c r="C31" i="2"/>
  <c r="N30" i="2"/>
  <c r="M30" i="2"/>
  <c r="C30" i="2"/>
  <c r="N29" i="2"/>
  <c r="M29" i="2"/>
  <c r="C29" i="2"/>
  <c r="N28" i="2"/>
  <c r="M28" i="2"/>
  <c r="C28" i="2"/>
  <c r="N27" i="2"/>
  <c r="M27" i="2"/>
  <c r="C27" i="2"/>
  <c r="N26" i="2"/>
  <c r="M26" i="2"/>
  <c r="C26" i="2"/>
  <c r="N25" i="2"/>
  <c r="M25" i="2"/>
  <c r="C25" i="2"/>
  <c r="N24" i="2"/>
  <c r="M24" i="2"/>
  <c r="C24" i="2"/>
  <c r="N23" i="2"/>
  <c r="M23" i="2"/>
  <c r="C23" i="2"/>
  <c r="N22" i="2"/>
  <c r="M22" i="2"/>
  <c r="C22" i="2"/>
  <c r="N21" i="2"/>
  <c r="M21" i="2"/>
  <c r="C21" i="2"/>
  <c r="N20" i="2"/>
  <c r="M20" i="2"/>
  <c r="C20" i="2"/>
  <c r="N19" i="2"/>
  <c r="M19" i="2"/>
  <c r="C19" i="2"/>
  <c r="N18" i="2"/>
  <c r="M18" i="2"/>
  <c r="C18" i="2"/>
  <c r="N17" i="2"/>
  <c r="M17" i="2"/>
  <c r="C17" i="2"/>
  <c r="N16" i="2"/>
  <c r="M16" i="2"/>
  <c r="C16" i="2"/>
  <c r="N15" i="2"/>
  <c r="M15" i="2"/>
  <c r="C15" i="2"/>
  <c r="N14" i="2"/>
  <c r="M14" i="2"/>
  <c r="C14" i="2"/>
  <c r="N13" i="2"/>
  <c r="M13" i="2"/>
  <c r="C13" i="2"/>
  <c r="N12" i="2"/>
  <c r="M12" i="2"/>
  <c r="C12" i="2"/>
  <c r="N11" i="2"/>
  <c r="M11" i="2"/>
  <c r="C11" i="2"/>
  <c r="N10" i="2"/>
  <c r="M10" i="2"/>
  <c r="C10" i="2"/>
  <c r="N9" i="2"/>
  <c r="M9" i="2"/>
  <c r="C9" i="2"/>
  <c r="N8" i="2"/>
  <c r="M8" i="2"/>
  <c r="C8" i="2"/>
  <c r="N7" i="2"/>
  <c r="M7" i="2"/>
  <c r="C7" i="2"/>
  <c r="N6" i="2"/>
  <c r="M6" i="2"/>
  <c r="E30" i="1" s="1"/>
  <c r="C6" i="2"/>
  <c r="N5" i="2"/>
  <c r="M5" i="2"/>
  <c r="E29" i="1" s="1"/>
  <c r="C5" i="2"/>
  <c r="C11" i="1" l="1"/>
  <c r="E27" i="1"/>
  <c r="F27" i="1" s="1"/>
  <c r="F24" i="1"/>
  <c r="C16" i="1"/>
  <c r="E25" i="1"/>
  <c r="F25" i="1" s="1"/>
  <c r="F30" i="1"/>
  <c r="F29" i="1"/>
  <c r="E28" i="1"/>
  <c r="F28" i="1" s="1"/>
  <c r="M85" i="2"/>
  <c r="C9" i="1"/>
  <c r="C10" i="1" s="1"/>
  <c r="E23" i="1"/>
  <c r="F23" i="1" s="1"/>
  <c r="E26" i="1"/>
  <c r="F26" i="1" s="1"/>
  <c r="C12" i="1" l="1"/>
  <c r="C13" i="1" s="1"/>
</calcChain>
</file>

<file path=xl/sharedStrings.xml><?xml version="1.0" encoding="utf-8"?>
<sst xmlns="http://schemas.openxmlformats.org/spreadsheetml/2006/main" count="870" uniqueCount="493">
  <si>
    <t>Itinerario detallado – PPP / Pasantías (Smart Agriculture)</t>
  </si>
  <si>
    <t>Edita solo las columnas amarillas: Estado (lista), Fecha real y Observaciones. El % y las alertas se calculan solos.</t>
  </si>
  <si>
    <t>ID</t>
  </si>
  <si>
    <t>Fecha</t>
  </si>
  <si>
    <t>Semana</t>
  </si>
  <si>
    <t>Fase</t>
  </si>
  <si>
    <t>N.º</t>
  </si>
  <si>
    <t>Actividad</t>
  </si>
  <si>
    <t>Tarea (itinerario)</t>
  </si>
  <si>
    <t>Horas</t>
  </si>
  <si>
    <t>Entregable / evidencia</t>
  </si>
  <si>
    <t>Ubicación (carpeta / archivo)</t>
  </si>
  <si>
    <t>Avance</t>
  </si>
  <si>
    <t>Estado</t>
  </si>
  <si>
    <t>% avance</t>
  </si>
  <si>
    <t>Alerta</t>
  </si>
  <si>
    <t>Fecha real de término</t>
  </si>
  <si>
    <t>Observaciones</t>
  </si>
  <si>
    <t>T01</t>
  </si>
  <si>
    <t>F1. Inducción y estado del arte</t>
  </si>
  <si>
    <t>Inducción al proyecto de investigación</t>
  </si>
  <si>
    <t>Revisar objetivos, alcance y metodología de Smart Agriculture.</t>
  </si>
  <si>
    <t>Protocolo SLR v3 (solo fuentes de Grupos v2) + hoja Protocolo de la matriz v5 + Inventario de fuentes.</t>
  </si>
  <si>
    <t>SLR_SmartAgriculture/01_Induccion + 00_Planificacion</t>
  </si>
  <si>
    <t>A1</t>
  </si>
  <si>
    <t>Completado</t>
  </si>
  <si>
    <t>Entregado el 01/10: protocolo v3, hoja Protocolo (v5) e inventario. Validado por el autor el 01/10/2026.</t>
  </si>
  <si>
    <t>T02</t>
  </si>
  <si>
    <t>Revisar fundamentos de IA, visión por computador, aprendizaje profundo y HCI.</t>
  </si>
  <si>
    <t>Fundamentos de IA, VC, DL e IPO (9 fuentes de Grupos v2).</t>
  </si>
  <si>
    <t>SLR_SmartAgriculture/01_Induccion/Fundamentos_IA_VC_DL_IPO.docx</t>
  </si>
  <si>
    <t>Entregado el 01/10: Fundamentos_IA_VC_DL_IPO.docx. Validado por el autor el 01/10/2026.</t>
  </si>
  <si>
    <t>T03</t>
  </si>
  <si>
    <t>Desarrollo del estado del arte</t>
  </si>
  <si>
    <t>Investigar enfermedades y alteraciones visibles en tallos de aguacate.</t>
  </si>
  <si>
    <t>Estado del arte v2: enfermedades del tallo (solo fuentes de Grupos v2).</t>
  </si>
  <si>
    <t>SLR_SmartAgriculture/02_Estado_del_arte/Estado_del_arte_v2.docx</t>
  </si>
  <si>
    <t>Entregado el 01/10/2026: secciones 2.6 (tallo, Tablas 8–10). Validado por el autor el 01/10/2026.</t>
  </si>
  <si>
    <t>T04</t>
  </si>
  <si>
    <t>Revisar técnicas de visión por computador y aprendizaje profundo.</t>
  </si>
  <si>
    <t>Estado del arte v2: IA y visión por computador para enfermedades.</t>
  </si>
  <si>
    <t>Entregado el 01/10/2026: secciones 2.5 (CNN, datasets, métricas y sistemas móviles). Validado por el autor el 01/10/2026.</t>
  </si>
  <si>
    <t>T05</t>
  </si>
  <si>
    <t>Analizar aplicaciones móviles inteligentes aplicadas a la agricultura.</t>
  </si>
  <si>
    <t>Estado del arte v2: aplicaciones móviles inteligentes en agricultura.</t>
  </si>
  <si>
    <t>Entregado el 01/10/2026: secciones 2.1 y 2.4 (apps móviles e IA en agricultura). Validado por el autor el 01/10/2026.</t>
  </si>
  <si>
    <t>T06</t>
  </si>
  <si>
    <t>Identificar métodos y principios HCI utilizados en soluciones inteligentes.</t>
  </si>
  <si>
    <t>Estado del arte v2: IPO e integración IA–IPO. Revisión de la tutora.</t>
  </si>
  <si>
    <t>Entregado el 01/10/2026: secciones 2.2 y 2.3 (IPO e integración IA–IPO). Validado por el autor el 01/10/2026; falta la revisión de la tutora.</t>
  </si>
  <si>
    <t>T07</t>
  </si>
  <si>
    <t>F2. Revisión sistemática (SLR)</t>
  </si>
  <si>
    <t>Búsqueda y organización de literatura científica</t>
  </si>
  <si>
    <t>Buscar artículos en Scopus, Sciencedirect, Springer, IEEE Xplore y Web of Science.</t>
  </si>
  <si>
    <t>Registrar las 16 cadenas (Scopus, ScienceDirect, Springer) con fecha y registros exportados. Sin acceso a IEEE ni WoS.</t>
  </si>
  <si>
    <t>SLR_SmartAgriculture/03_Matriz_SLR/SLR_tallos_aguacate_PLANTILLA_v5.xlsx › Cadenas_de_busqueda</t>
  </si>
  <si>
    <t>A2</t>
  </si>
  <si>
    <t>Entregado el 01/10/2026: hoja Cadenas_de_busqueda del v5 con las 16 cadenas (1–9, 12–15 y 16–18), fecha, campos, filtros y registros exportados (78). Validado por el autor el 01/10/2026.</t>
  </si>
  <si>
    <t>T08</t>
  </si>
  <si>
    <t>Registrar y organizar referencias bibliográficas.</t>
  </si>
  <si>
    <t>Consolidar todos los registros exportados con su ID.</t>
  </si>
  <si>
    <t>SLR_SmartAgriculture/03_Matriz_SLR/SLR_tallos_aguacate_PLANTILLA_v5.xlsx › Base_consolidada</t>
  </si>
  <si>
    <t>Entregado el 01/10/2026: 78 exportados → 68 registros únicos por base, con ID (A0001–A0048, T0001–T0020). Validado por el autor el 01/10/2026.</t>
  </si>
  <si>
    <t>T09</t>
  </si>
  <si>
    <t>Elaborar la matriz bibliográfica de artículos científicos.</t>
  </si>
  <si>
    <t>Matriz v5 con la base consolidada completa.</t>
  </si>
  <si>
    <t>SLR_SmartAgriculture/03_Matriz_SLR/SLR_tallos_aguacate_PLANTILLA_v5.xlsx</t>
  </si>
  <si>
    <t>Entregado el 01/10/2026: hoja Base_consolidada del v5 (título, autores, año, DOI, palabras clave, resumen, revista, registro fuente). Validado por el autor el 01/10/2026.</t>
  </si>
  <si>
    <t>T10</t>
  </si>
  <si>
    <t>Clasificar investigaciones sobre IA, HCI y aplicaciones móviles.</t>
  </si>
  <si>
    <t>Clasificar los registros en Fitopatológico / Tecnológico.</t>
  </si>
  <si>
    <t>Entregado el 01/10/2026: 48 fitopatológicos y 20 tecnológicos (columna Categoría). Validado por el autor el 01/10/2026.</t>
  </si>
  <si>
    <t>T11</t>
  </si>
  <si>
    <t>Aplicación de la metodología PRISMA 2020</t>
  </si>
  <si>
    <t>Identificar registros y eliminar duplicados.</t>
  </si>
  <si>
    <t>Duplicados dentro de cada base y entre bases; revisiones retiradas.</t>
  </si>
  <si>
    <t>SLR_SmartAgriculture/03_Matriz_SLR/SLR_tallos_aguacate_PLANTILLA_v5.xlsx › Duplicados_y_exclusion</t>
  </si>
  <si>
    <t>A3</t>
  </si>
  <si>
    <t>Entregado el 01/10/2026: 4 duplicados entre bases y 9 revisiones retirados (hoja Duplicados_y_exclusion); 55 registros pasan al cribado. Validado por el autor el 02/10/2026 (tablas de resumen añadidas).</t>
  </si>
  <si>
    <t>T12</t>
  </si>
  <si>
    <t>Tamizar artículos por título y resumen.</t>
  </si>
  <si>
    <t>Cribado de todos los registros con los criterios CI/CE del protocolo v3.</t>
  </si>
  <si>
    <t>SLR_SmartAgriculture/03_Matriz_SLR/SLR_tallos_aguacate_PLANTILLA_v5.xlsx › Tamizaje_Tit_Abs_Keys</t>
  </si>
  <si>
    <t>Entregado el 01/10/2026: 55 cribados → 22 a texto completo y 33 excluidos (hoja Tamizaje_Tit_Abs_Keys). Validado por el autor el 02/10/2026 (tablas de resumen añadidas).</t>
  </si>
  <si>
    <t>T13</t>
  </si>
  <si>
    <t>Evaluar elegibilidad mediante revisión a texto completo.</t>
  </si>
  <si>
    <t>Lectura a texto completo de los que pasan el cribado.</t>
  </si>
  <si>
    <t>SLR_SmartAgriculture/03_Matriz_SLR/SLR_tallos_aguacate_PLANTILLA_v5.xlsx › Texto_completo</t>
  </si>
  <si>
    <t>Entregado el 01/10/2026: 22 PDF leídos → 18 elegibles (13 fitopatológicos y 5 tecnológicos) y 4 excluidos (hoja Texto_completo). Validado por el autor el 02/10/2026 (tablas de resumen añadidas).</t>
  </si>
  <si>
    <t>T14</t>
  </si>
  <si>
    <t>Registrar criterios de inclusión, exclusión y motivos de descarte.</t>
  </si>
  <si>
    <t>Código de criterio y motivo de cada exclusión.</t>
  </si>
  <si>
    <t>SLR_SmartAgriculture/03_Matriz_SLR/SLR_tallos_aguacate_PLANTILLA_v5.xlsx › Tamizaje / Texto_completo</t>
  </si>
  <si>
    <t>Entregado el 01/10/2026: código CI/CE y motivo de cada exclusión; 5 casos dudosos y muestra del 10 % para la tutora. Validado por el autor el 02/10/2026 (tablas de resumen añadidas).</t>
  </si>
  <si>
    <t>T15</t>
  </si>
  <si>
    <t>Evaluación de la calidad de los estudios</t>
  </si>
  <si>
    <t>Aplicar criterios de calidad metodológica a los estudios seleccionados.</t>
  </si>
  <si>
    <t>Q1–Q10 por categoría a los estudios elegibles.</t>
  </si>
  <si>
    <t>SLR_SmartAgriculture/03_Matriz_SLR/SLR_tallos_aguacate_PLANTILLA_v5.xlsx › Calidad_articulos</t>
  </si>
  <si>
    <t>Entregado el 02/10/2026: Q1–Q10 aplicados a los 18 elegibles con reglas de puntuación explícitas (hoja Calidad_articulos). Validado por el autor el 02/10/2026.</t>
  </si>
  <si>
    <t>T16</t>
  </si>
  <si>
    <t>Registrar resultados en la matriz de evaluación de calidad.</t>
  </si>
  <si>
    <t>Nivel de calidad y observaciones por estudio.</t>
  </si>
  <si>
    <t>Entregado el 02/10/2026: 17 de alta y 1 de media calidad (A0017), con observaciones y riesgos de sesgo por estudio; casos límite para la tutora: A0017, T0002 y T0010. Validado por el autor el 02/10/2026.</t>
  </si>
  <si>
    <t>T17</t>
  </si>
  <si>
    <t>Extracción y análisis de información científica</t>
  </si>
  <si>
    <t>Identificar técnicas de IA y métodos HCI.</t>
  </si>
  <si>
    <t>Extracción tecnológica: modelo, plataforma, inferencia e IPO.</t>
  </si>
  <si>
    <t>SLR_SmartAgriculture/03_Matriz_SLR/SLR_tallos_aguacate_PLANTILLA_v5.xlsx › Articulos_finales</t>
  </si>
  <si>
    <t>Entregado el 02/10/2026: extracción de modelo, dataset, métrica, plataforma e IPO de los 5 tecnológicos (hoja Articulos_finales). Validado por el autor el 02/10/2026.</t>
  </si>
  <si>
    <t>T18</t>
  </si>
  <si>
    <t>Extraer métricas de evaluación y características de aplicaciones móviles.</t>
  </si>
  <si>
    <t>Métricas, datasets y tipo de aplicación.</t>
  </si>
  <si>
    <t>Entregado el 02/10/2026: métricas, datasets y tipo de app en Articulos_finales y Tabla B de Articulos_finales_ok. Validado por el autor el 02/10/2026.</t>
  </si>
  <si>
    <t>T19</t>
  </si>
  <si>
    <t>Analizar resultados experimentales y hallazgos científicos.</t>
  </si>
  <si>
    <t>Tablas de síntesis fitopatológica y tecnológica.</t>
  </si>
  <si>
    <t>SLR_SmartAgriculture/03_Matriz_SLR/SLR_tallos_aguacate_PLANTILLA_v5.xlsx › Articulos_finales_ok</t>
  </si>
  <si>
    <t>Entregado el 02/10/2026: Tablas A–D de síntesis (Articulos_finales_ok); 17 incluidos (12 fitopatológicos y 5 tecnológicos) y 1 en reserva (A0017). Validado por el autor el 02/10/2026.</t>
  </si>
  <si>
    <t>T20</t>
  </si>
  <si>
    <t>Identificar limitaciones y oportunidades de investigación.</t>
  </si>
  <si>
    <t>Patrones, vacíos y recomendación.</t>
  </si>
  <si>
    <t>SLR_SmartAgriculture/03_Matriz_SLR/SLR_tallos_aguacate_PLANTILLA_v5.xlsx › Resumen_ejecutivo</t>
  </si>
  <si>
    <t>Entregado el 02/10/2026: patrones, vacíos y recomendación (hoja Resumen_ejecutivo). Validado por el autor el 02/10/2026.</t>
  </si>
  <si>
    <t>T21</t>
  </si>
  <si>
    <t>Elaboración del diagrama PRISMA</t>
  </si>
  <si>
    <t>Organizar cifras de identificación, cribado e inclusión.</t>
  </si>
  <si>
    <t>Conteos automáticos del diagrama de flujo.</t>
  </si>
  <si>
    <t>SLR_SmartAgriculture/03_Matriz_SLR (hoja PRISMA) y 04_PRISMA/PRISMA_2020_diagrama_v2.png</t>
  </si>
  <si>
    <t>A4</t>
  </si>
  <si>
    <t>Entregado el 02/10/2026: hoja PRISMA corregida (rango de registros únicos, revisiones de literatura, exclusión 'Solo raíz', reserva y cita secundaria) con 7 comprobaciones del flujo en 'Correcto'. Validado por el autor el 02/10/2026.</t>
  </si>
  <si>
    <t>T22</t>
  </si>
  <si>
    <t>Elaborar y verificar el diagrama PRISMA 2020.</t>
  </si>
  <si>
    <t>Figura PRISMA verificada contra la matriz.</t>
  </si>
  <si>
    <t>Entregado el 02/10/2026: figura 04_PRISMA/PRISMA_2020_diagrama_v2.png (y .pdf) generada desde la hoja PRISMA: 78 → 55 cribados → 22 a texto completo → 17 incluidos (12 + 5). Validado por el autor el 02/10/2026.</t>
  </si>
  <si>
    <t>T23</t>
  </si>
  <si>
    <t>Redacción del borrador de la SLR</t>
  </si>
  <si>
    <t>Redactar introducción y metodología.</t>
  </si>
  <si>
    <t>Documento SLR: introducción (desde el estado del arte) y metodología (desde el protocolo).</t>
  </si>
  <si>
    <t>SLR_SmartAgriculture/05_Redaccion_SLR/SLR_tallos_aguacate_v1.docx</t>
  </si>
  <si>
    <t>En curso</t>
  </si>
  <si>
    <t>Entregado el 02/10/2026: introducción (desde el estado del arte) y metodología (diseño, fuentes, criterios, selección, calidad y extracción) en el borrador v1. Pendiente de tu validación.</t>
  </si>
  <si>
    <t>T24</t>
  </si>
  <si>
    <t>Redactar resultados e integrar tablas y figuras.</t>
  </si>
  <si>
    <t>Resultados por RQ con tablas y figura PRISMA.</t>
  </si>
  <si>
    <t>Entregado el 02/10/2026: resultados por RQ1–RQ4 con 9 tablas y la Figura 1 (PRISMA v2), generadas desde la matriz v5. Pendiente de tu validación.</t>
  </si>
  <si>
    <t>T25</t>
  </si>
  <si>
    <t>Redactar discusión y conclusiones preliminares.</t>
  </si>
  <si>
    <t>Discusión, limitaciones y conclusiones.</t>
  </si>
  <si>
    <t>Entregado el 02/10/2026: discusión (4.1–4.3), brechas RQ5 (Tabla 9), limitaciones y conclusiones por RQ. Pendiente de tu validación.</t>
  </si>
  <si>
    <t>T26</t>
  </si>
  <si>
    <t>Organizar referencias y consolidar el borrador.</t>
  </si>
  <si>
    <t>Referencias APA 7 (solo Grupos v2). ENVIAR a la tutora.</t>
  </si>
  <si>
    <t>Entregado el 02/10/2026: 31 referencias APA 7, todas de Grupos v2 y citadas; anexos A (cadenas), B (excluidos) y C (calidad). Pendiente de tu validación; luego ENVIAR a la tutora (Avance A4).</t>
  </si>
  <si>
    <t>T27</t>
  </si>
  <si>
    <t>Revisión del documento científico</t>
  </si>
  <si>
    <t>Revisar coherencia metodológica, resultados y trazabilidad.</t>
  </si>
  <si>
    <t>Aplicar correcciones de la tutora y registrar cada cambio.</t>
  </si>
  <si>
    <t>SLR_SmartAgriculture/06_Revision + 00_Planificacion/Registro_correcciones.xlsx</t>
  </si>
  <si>
    <t>A5</t>
  </si>
  <si>
    <t>Pendiente</t>
  </si>
  <si>
    <t>T28</t>
  </si>
  <si>
    <t>Corregir referencias, tablas, figuras y estructura.</t>
  </si>
  <si>
    <t>Versión final de la SLR.</t>
  </si>
  <si>
    <t>SLR_SmartAgriculture/06_Revision</t>
  </si>
  <si>
    <t>T29</t>
  </si>
  <si>
    <t>F3. Construcción del dataset</t>
  </si>
  <si>
    <t>Diseño del protocolo para la construcción del dataset</t>
  </si>
  <si>
    <t>Definir captura, iluminación, distancia, orientación y resolución.</t>
  </si>
  <si>
    <t>Protocolo de adquisición de imágenes: dispositivo, iluminación, distancia, ángulos y resolución (apoyado en la SLR).</t>
  </si>
  <si>
    <t>Dataset/Protocolo</t>
  </si>
  <si>
    <t>A6</t>
  </si>
  <si>
    <t>T30</t>
  </si>
  <si>
    <t>Definir identificación, almacenamiento, clasificación, etiquetado y metadatos.</t>
  </si>
  <si>
    <t>Clases (según los artículos biológicos de enfermedades del tallo), nombres de archivo, carpetas y plantilla de metadatos. ENVIAR → Avance 6.</t>
  </si>
  <si>
    <t>T31</t>
  </si>
  <si>
    <t>Recolección y organización de imágenes de tallos de aguacate</t>
  </si>
  <si>
    <t>Capturar imágenes de tallos sanos y con alteraciones visibles.</t>
  </si>
  <si>
    <t>Lote 1 de imágenes + registro de campo.</t>
  </si>
  <si>
    <t>Dataset/Imagenes</t>
  </si>
  <si>
    <t>A7</t>
  </si>
  <si>
    <t>T32</t>
  </si>
  <si>
    <t>Registrar condiciones de captura e identificación de muestras.</t>
  </si>
  <si>
    <t>Hoja de metadatos (fecha, lugar, planta, condiciones).</t>
  </si>
  <si>
    <t>Dataset/Metadatos</t>
  </si>
  <si>
    <t>T33</t>
  </si>
  <si>
    <t>Recolectar imágenes complementarias de las clases definidas.</t>
  </si>
  <si>
    <t>Lote 2 de imágenes para completar las clases.</t>
  </si>
  <si>
    <t>T34</t>
  </si>
  <si>
    <t>Organizar imágenes y verificar el protocolo de adquisición.</t>
  </si>
  <si>
    <t>Verificación de cumplimiento del protocolo de captura.</t>
  </si>
  <si>
    <t>Dataset</t>
  </si>
  <si>
    <t>T35</t>
  </si>
  <si>
    <t>Depuración, clasificación y etiquetado del dataset</t>
  </si>
  <si>
    <t>Identificar imágenes no válidas y eliminar duplicados.</t>
  </si>
  <si>
    <t>Registro de imágenes descartadas y motivo.</t>
  </si>
  <si>
    <t>T36</t>
  </si>
  <si>
    <t>Clasificar y etiquetar imágenes por clases.</t>
  </si>
  <si>
    <t>Imágenes etiquetadas por clase.</t>
  </si>
  <si>
    <t>T37</t>
  </si>
  <si>
    <t>Revisar etiquetas y controlar calidad del dataset.</t>
  </si>
  <si>
    <t>Control de calidad de etiquetas (muestra revisada).</t>
  </si>
  <si>
    <t>T38</t>
  </si>
  <si>
    <t>Organizar imágenes y metadatos por clases.</t>
  </si>
  <si>
    <t>Dataset v1 etiquetado + metadatos. ENVIAR → Avance 7.</t>
  </si>
  <si>
    <t>T39</t>
  </si>
  <si>
    <t>Preprocesamiento y preparación del dataset</t>
  </si>
  <si>
    <t>Redimensionar y normalizar imágenes.</t>
  </si>
  <si>
    <t>Script de preprocesamiento.</t>
  </si>
  <si>
    <t>Modelo/Codigo</t>
  </si>
  <si>
    <t>A8</t>
  </si>
  <si>
    <t>T40</t>
  </si>
  <si>
    <t>Aplicar aumento de datos cuando corresponda.</t>
  </si>
  <si>
    <t>Configuración de aumento de datos (solo sobre el conjunto de entrenamiento).</t>
  </si>
  <si>
    <t>T41</t>
  </si>
  <si>
    <t>Dividir datos en entrenamiento, validación y prueba.</t>
  </si>
  <si>
    <t>Partición train/val/test sin fuga de información (separar por planta).</t>
  </si>
  <si>
    <t>Modelo/Datos</t>
  </si>
  <si>
    <t>T42</t>
  </si>
  <si>
    <t>Verificar distribución de clases y preparar entrenamiento.</t>
  </si>
  <si>
    <t>Tabla de distribución de clases por conjunto.</t>
  </si>
  <si>
    <t>T43</t>
  </si>
  <si>
    <t>F4. Modelos de IA</t>
  </si>
  <si>
    <t>Diseño y entrenamiento de modelos inteligentes</t>
  </si>
  <si>
    <t>Seleccionar arquitecturas CNN y transferencia de aprendizaje.</t>
  </si>
  <si>
    <t>Justificación de arquitecturas a partir de la SLR (p. ej., MobileNetV3, EfficientNet-Lite).</t>
  </si>
  <si>
    <t>Modelo</t>
  </si>
  <si>
    <t>T44</t>
  </si>
  <si>
    <t>Configurar entorno e hiperparámetros.</t>
  </si>
  <si>
    <t>Entorno (Colab/Python) + tabla de hiperparámetros.</t>
  </si>
  <si>
    <t>T45</t>
  </si>
  <si>
    <t>Entrenar modelo inicial.</t>
  </si>
  <si>
    <t>Modelo base entrenado.</t>
  </si>
  <si>
    <t>T46</t>
  </si>
  <si>
    <t>Registrar configuraciones y resultados.</t>
  </si>
  <si>
    <t>Bitácora de experimentos.</t>
  </si>
  <si>
    <t>T47</t>
  </si>
  <si>
    <t>Ajustar hiperparámetros y repetir experimentos.</t>
  </si>
  <si>
    <t>Experimentos adicionales registrados.</t>
  </si>
  <si>
    <t>T48</t>
  </si>
  <si>
    <t>Comparar resultados y guardar modelos.</t>
  </si>
  <si>
    <t>Modelos guardados + tabla comparativa.</t>
  </si>
  <si>
    <t>T49</t>
  </si>
  <si>
    <t>Evaluación y selección del modelo de IA</t>
  </si>
  <si>
    <t>Calcular accuracy, precision, recall y F1-score.</t>
  </si>
  <si>
    <t>Tabla de métricas por modelo.</t>
  </si>
  <si>
    <t>Modelo/Resultados</t>
  </si>
  <si>
    <t>T50</t>
  </si>
  <si>
    <t>Elaborar matriz de confusión y analizar errores.</t>
  </si>
  <si>
    <t>Matrices de confusión + análisis de errores.</t>
  </si>
  <si>
    <t>T51</t>
  </si>
  <si>
    <t>Comparar desempeño de los modelos.</t>
  </si>
  <si>
    <t>Comparación de modelos (desempeño y tamaño).</t>
  </si>
  <si>
    <t>T52</t>
  </si>
  <si>
    <t>Seleccionar modelo viable para dispositivos móviles.</t>
  </si>
  <si>
    <t>Modelo seleccionado exportado (p. ej., TFLite). ENVIAR → Avance 8.</t>
  </si>
  <si>
    <t>T53</t>
  </si>
  <si>
    <t>F5. HCI y diseño de interfaz</t>
  </si>
  <si>
    <t>Análisis HCI y diseño centrado en el usuario</t>
  </si>
  <si>
    <t>Caracterizar usuarios y contexto agrícola.</t>
  </si>
  <si>
    <t>Perfiles de usuario y contexto de uso en campo.</t>
  </si>
  <si>
    <t>HCI</t>
  </si>
  <si>
    <t>A9</t>
  </si>
  <si>
    <t>T54</t>
  </si>
  <si>
    <t>Definir requisitos de interacción, flujos, usabilidad y accesibilidad.</t>
  </si>
  <si>
    <t>Requisitos de interacción, flujos de usuario y criterios de usabilidad y accesibilidad.</t>
  </si>
  <si>
    <t>T55</t>
  </si>
  <si>
    <t>Diseño y prototipado de la interfaz de usuario</t>
  </si>
  <si>
    <t>Elaborar wireframes y prototipos móviles.</t>
  </si>
  <si>
    <t>Wireframes y prototipo navegable (p. ej., Figma).</t>
  </si>
  <si>
    <t>HCI/Prototipo</t>
  </si>
  <si>
    <t>T56</t>
  </si>
  <si>
    <t>Diseñar captura de imágenes y presentación comprensible de resultados.</t>
  </si>
  <si>
    <t>Pantallas de captura guiada y de resultado. ENVIAR prototipo → Avance 9.</t>
  </si>
  <si>
    <t>T57</t>
  </si>
  <si>
    <t>F6. Desarrollo de la app móvil</t>
  </si>
  <si>
    <t>Desarrollo de la aplicación móvil inteligente</t>
  </si>
  <si>
    <t>Configurar proyecto móvil, interfaces y navegación.</t>
  </si>
  <si>
    <t>Proyecto base de la app con navegación.</t>
  </si>
  <si>
    <t>App</t>
  </si>
  <si>
    <t>A10</t>
  </si>
  <si>
    <t>T58</t>
  </si>
  <si>
    <t>Implementar captura y selección de imágenes.</t>
  </si>
  <si>
    <t>Módulo de cámara y galería.</t>
  </si>
  <si>
    <t>T59</t>
  </si>
  <si>
    <t>Implementar componentes de procesamiento de imágenes.</t>
  </si>
  <si>
    <t>Preprocesamiento de imágenes en la app.</t>
  </si>
  <si>
    <t>T60</t>
  </si>
  <si>
    <t>Desarrollar presentación de resultados de IA.</t>
  </si>
  <si>
    <t>Pantalla de resultados del diagnóstico.</t>
  </si>
  <si>
    <t>T61</t>
  </si>
  <si>
    <t>Integrar navegación y componentes de interacción.</t>
  </si>
  <si>
    <t>Navegación completa entre pantallas.</t>
  </si>
  <si>
    <t>T62</t>
  </si>
  <si>
    <t>Verificar funcionamiento inicial de la aplicación.</t>
  </si>
  <si>
    <t>Pruebas iniciales de la app.</t>
  </si>
  <si>
    <t>T63</t>
  </si>
  <si>
    <t>Integración y optimización del modelo de IA</t>
  </si>
  <si>
    <t>Incorporar el modelo entrenado en la aplicación.</t>
  </si>
  <si>
    <t>Modelo integrado en la app.</t>
  </si>
  <si>
    <t>T64</t>
  </si>
  <si>
    <t>Verificar procesamiento de imágenes e inferencias.</t>
  </si>
  <si>
    <t>Pruebas de inferencia en el dispositivo.</t>
  </si>
  <si>
    <t>T65</t>
  </si>
  <si>
    <t>Evaluar inferencia, tamaño del modelo y consumo de recursos.</t>
  </si>
  <si>
    <t>Tabla de tiempo de inferencia, tamaño del modelo y consumo.</t>
  </si>
  <si>
    <t>App/Pruebas</t>
  </si>
  <si>
    <t>T66</t>
  </si>
  <si>
    <t>Optimizar funcionamiento y manejo de errores.</t>
  </si>
  <si>
    <t>App optimizada con manejo de errores.</t>
  </si>
  <si>
    <t>T67</t>
  </si>
  <si>
    <t>Implementación de funcionalidades sin conexión</t>
  </si>
  <si>
    <t>Implementar procesamiento local sin Internet.</t>
  </si>
  <si>
    <t>Inferencia 100 % en el dispositivo.</t>
  </si>
  <si>
    <t>T68</t>
  </si>
  <si>
    <t>Verificar diagnóstico local con conectividad limitada.</t>
  </si>
  <si>
    <t>Pruebas sin conexión. ENVIAR app funcional → Avance 10.</t>
  </si>
  <si>
    <t>T69</t>
  </si>
  <si>
    <t>F7. Evaluación y validación</t>
  </si>
  <si>
    <t>Evaluación integral de la aplicación móvil</t>
  </si>
  <si>
    <t>Ejecutar pruebas funcionales y técnicas del modelo integrado.</t>
  </si>
  <si>
    <t>Casos de prueba ejecutados.</t>
  </si>
  <si>
    <t>Evaluacion</t>
  </si>
  <si>
    <t>A11</t>
  </si>
  <si>
    <t>T70</t>
  </si>
  <si>
    <t>Evaluar interacción, usabilidad y accesibilidad.</t>
  </si>
  <si>
    <t>Evaluación heurística + checklist de accesibilidad.</t>
  </si>
  <si>
    <t>T71</t>
  </si>
  <si>
    <t>Realizar pruebas de experiencia de usuario.</t>
  </si>
  <si>
    <t>Pruebas con usuarios (tareas + cuestionario SUS).</t>
  </si>
  <si>
    <t>T72</t>
  </si>
  <si>
    <t>Registrar y analizar resultados de pruebas.</t>
  </si>
  <si>
    <t>Informe de resultados de pruebas.</t>
  </si>
  <si>
    <t>T73</t>
  </si>
  <si>
    <t>Validación del caso práctico</t>
  </si>
  <si>
    <t>Probar modelo y aplicación con imágenes de tallos de aguacate.</t>
  </si>
  <si>
    <t>Validación con imágenes nuevas de tallos.</t>
  </si>
  <si>
    <t>Validacion</t>
  </si>
  <si>
    <t>T74</t>
  </si>
  <si>
    <t>Documentar resultados, limitaciones y mejoras.</t>
  </si>
  <si>
    <t>Informe de validación. ENVIAR → Avance 11.</t>
  </si>
  <si>
    <t>T75</t>
  </si>
  <si>
    <t>F8. Consolidación e informe final</t>
  </si>
  <si>
    <t>Consolidación del caso práctico IA + HCI</t>
  </si>
  <si>
    <t>Organizar dataset y metadatos definitivos.</t>
  </si>
  <si>
    <t>Dataset final + metadatos.</t>
  </si>
  <si>
    <t>Entregables</t>
  </si>
  <si>
    <t>A12</t>
  </si>
  <si>
    <t>T76</t>
  </si>
  <si>
    <t>Organizar modelo, aplicación móvil y código fuente.</t>
  </si>
  <si>
    <t>Repositorio con modelo, app y código fuente.</t>
  </si>
  <si>
    <t>T77</t>
  </si>
  <si>
    <t>Consolidar resultados experimentales y documentación técnica.</t>
  </si>
  <si>
    <t>Documentación técnica.</t>
  </si>
  <si>
    <t>T78</t>
  </si>
  <si>
    <t>Verificar evidencias, reproducibilidad y entregables del caso práctico.</t>
  </si>
  <si>
    <t>Checklist de entregables y reproducibilidad.</t>
  </si>
  <si>
    <t>T79</t>
  </si>
  <si>
    <t>Elaboración y entrega del informe técnico final</t>
  </si>
  <si>
    <t>Redactar informe de metodología, desarrollo y resultados.</t>
  </si>
  <si>
    <t>Informe técnico final (borrador).</t>
  </si>
  <si>
    <t>Informe_final</t>
  </si>
  <si>
    <t>T80</t>
  </si>
  <si>
    <t>Revisar documentación y entregar productos desarrollados.</t>
  </si>
  <si>
    <t>ENTREGA FINAL → Avance 12.</t>
  </si>
  <si>
    <t>TOTAL</t>
  </si>
  <si>
    <t>Promedio</t>
  </si>
  <si>
    <t>Panel de avance – Itinerario PPP Smart Agriculture</t>
  </si>
  <si>
    <t>Todo se calcula a partir de las hojas Itinerario, Avances y Checklist_Protocolo.</t>
  </si>
  <si>
    <t>RESUMEN GENERAL</t>
  </si>
  <si>
    <t>Inicio de prácticas</t>
  </si>
  <si>
    <t>Fin de prácticas</t>
  </si>
  <si>
    <t>Hoy</t>
  </si>
  <si>
    <t>Horas totales del itinerario</t>
  </si>
  <si>
    <t>Horas completadas (ponderadas por estado)</t>
  </si>
  <si>
    <t>% de avance real</t>
  </si>
  <si>
    <t>% que debería llevar a hoy</t>
  </si>
  <si>
    <t>Diferencia (real − esperado)</t>
  </si>
  <si>
    <t>Situación</t>
  </si>
  <si>
    <t>Tareas completadas</t>
  </si>
  <si>
    <t>Tareas en curso</t>
  </si>
  <si>
    <t>Tareas atrasadas</t>
  </si>
  <si>
    <t>Avance del checklist del protocolo</t>
  </si>
  <si>
    <t>Próximo avance a enviar</t>
  </si>
  <si>
    <t>Fecha planificada del próximo avance</t>
  </si>
  <si>
    <t>AVANCE POR FASE</t>
  </si>
  <si>
    <t>Fechas</t>
  </si>
  <si>
    <t>Horas hechas</t>
  </si>
  <si>
    <t>Tareas</t>
  </si>
  <si>
    <t>28/09 – 30/09</t>
  </si>
  <si>
    <t>01/10 – 26/10</t>
  </si>
  <si>
    <t>27/10 – 06/11</t>
  </si>
  <si>
    <t>09/11 – 13/11</t>
  </si>
  <si>
    <t>16/11 – 17/11</t>
  </si>
  <si>
    <t>18/11 – 25/11</t>
  </si>
  <si>
    <t>26/11 – 30/11</t>
  </si>
  <si>
    <t>01/12 – 18/12</t>
  </si>
  <si>
    <t>CÓMO USAR ESTE ARCHIVO</t>
  </si>
  <si>
    <t>2. Cuando envíes un avance a la tutora, actualiza la hoja Avances (fecha real, versión, estado).</t>
  </si>
  <si>
    <t>3. Las correcciones de la tutora se registran en SLR_SmartAgriculture/00_Planificacion/Registro_correcciones.xlsx.</t>
  </si>
  <si>
    <t>4. Este panel se actualiza solo: % real frente a % esperado según la fecha de hoy.</t>
  </si>
  <si>
    <t>5. Celdas amarillas = para editar. No borres las fórmulas de las columnas % avance, Alerta y Semana.</t>
  </si>
  <si>
    <t>Avances para revisión de la tutora</t>
  </si>
  <si>
    <t>Actualiza Estado, fechas reales y versión cada vez que envíes un avance o recibas correcciones.</t>
  </si>
  <si>
    <t>Nombre</t>
  </si>
  <si>
    <t>Qué presentar</t>
  </si>
  <si>
    <t>Actividades</t>
  </si>
  <si>
    <t>Fecha planificada de envío</t>
  </si>
  <si>
    <t>Fecha real de envío</t>
  </si>
  <si>
    <t>Fecha de retroalimentación</t>
  </si>
  <si>
    <t>Versión enviada</t>
  </si>
  <si>
    <t>Protocolo de la SLR (v3) + fundamentos</t>
  </si>
  <si>
    <t>Protocolo completo con el formato del modelo de la tutora: justificación, objetivo, RQ, PICOS, criterios, cadenas de búsqueda, selección, QA, extracción, calidad y síntesis. Consultar a la tutora: literatura biológica como fundamentación (sección 15) y excepción de tallos en CI3.</t>
  </si>
  <si>
    <t>1–2</t>
  </si>
  <si>
    <t>Protocolo v3 + Fundamentos</t>
  </si>
  <si>
    <t>Validado por el autor el 01/10/2026. Registra aquí la fecha de envío a la tutora y su respuesta.</t>
  </si>
  <si>
    <t>Búsqueda + matriz consolidada</t>
  </si>
  <si>
    <t>Bitácora de búsqueda (cadena, fecha, filtros y resultados por base) y matriz con todos los registros consolidados.</t>
  </si>
  <si>
    <t>3</t>
  </si>
  <si>
    <t>Selección, calidad y extracción</t>
  </si>
  <si>
    <t>Matriz con deduplicación, cribado (incluir/excluir/dudoso), motivos E1–E8, QA1–QA5, calidad C1–C10 y extracción de datos.</t>
  </si>
  <si>
    <t>4–6</t>
  </si>
  <si>
    <t>Diagrama PRISMA + borrador SLR v1</t>
  </si>
  <si>
    <t>Diagrama PRISMA 2020 y borrador completo (introducción, metodología, resultados por RQ, discusión, conclusiones y referencias). La tutora revisa del 15 al 23/10.</t>
  </si>
  <si>
    <t>7–8</t>
  </si>
  <si>
    <t>Borrador SLR v2 corregido</t>
  </si>
  <si>
    <t>Versión corregida + registro de correcciones (qué se cambió y dónde).</t>
  </si>
  <si>
    <t>9</t>
  </si>
  <si>
    <t>Protocolo del dataset</t>
  </si>
  <si>
    <t>Condiciones de captura, clases, nomenclatura, estructura de carpetas y metadatos.</t>
  </si>
  <si>
    <t>10</t>
  </si>
  <si>
    <t>Dataset v1 etiquetado</t>
  </si>
  <si>
    <t>Imágenes depuradas, etiquetadas por clase y con metadatos.</t>
  </si>
  <si>
    <t>11–12</t>
  </si>
  <si>
    <t>Modelo de IA seleccionado</t>
  </si>
  <si>
    <t>Preprocesamiento, experimentos, métricas, matrices de confusión y modelo exportado para móvil.</t>
  </si>
  <si>
    <t>13–15</t>
  </si>
  <si>
    <t>Diseño HCI + prototipo</t>
  </si>
  <si>
    <t>Perfiles de usuario, requisitos de interacción, wireframes y prototipo navegable.</t>
  </si>
  <si>
    <t>16–17</t>
  </si>
  <si>
    <t>App con modelo integrado y sin conexión</t>
  </si>
  <si>
    <t>App funcional con captura, inferencia en el dispositivo, resultados y funcionamiento sin Internet.</t>
  </si>
  <si>
    <t>18–20</t>
  </si>
  <si>
    <t>Evaluación y validación</t>
  </si>
  <si>
    <t>Pruebas funcionales, usabilidad (SUS), experiencia de usuario y validación con imágenes de tallos.</t>
  </si>
  <si>
    <t>21–22</t>
  </si>
  <si>
    <t>Informe técnico final</t>
  </si>
  <si>
    <t>Dataset, modelo, app, código fuente e informe final.</t>
  </si>
  <si>
    <t>23–24</t>
  </si>
  <si>
    <t>Checklist del Protocolo SLR v3 (Avance A1)</t>
  </si>
  <si>
    <t>Archivo: SLR_SmartAgriculture/01_Induccion/Protocolo_SLR_SmartAgriculture_v3.docx. Revisado por el autor el 01/10/2026.</t>
  </si>
  <si>
    <t>Sección / tarea</t>
  </si>
  <si>
    <t>Qué verificar</t>
  </si>
  <si>
    <t>Notas</t>
  </si>
  <si>
    <t>Encabezado y título</t>
  </si>
  <si>
    <t>Universidad, estudiante, tutora y título (tallo del aguacate + IA + Smart Agriculture).</t>
  </si>
  <si>
    <t>Revisado</t>
  </si>
  <si>
    <t>1. Antecedentes / justificación</t>
  </si>
  <si>
    <t>Citas solo de Grupos v2; revisiones como fuentes de antecedentes.</t>
  </si>
  <si>
    <t>2–4. Objetivo, pregunta principal y RQ1–RQ5</t>
  </si>
  <si>
    <t>Cada RQ se responde con campos de extracción de la matriz v5.</t>
  </si>
  <si>
    <t>5. Marco PICOS</t>
  </si>
  <si>
    <t>Población (aguacate / cultivos), intervención (IA), resultados y tipo de estudio.</t>
  </si>
  <si>
    <t>6. Criterios fitopatológicos</t>
  </si>
  <si>
    <t>CI-F1–CI-F4 y CE-F1–CE-F5 (2003–2026); 'stem-end rot' = fruto.</t>
  </si>
  <si>
    <t>6. Criterios tecnológicos</t>
  </si>
  <si>
    <t>CI-T1–CI-T4 y CE-T1–CE-T4 (2015–2026).</t>
  </si>
  <si>
    <t>7. Fuentes de información</t>
  </si>
  <si>
    <t>Scopus, ScienceDirect y Springer Link; IEEE Xplore y WoS sin acceso (limitación).</t>
  </si>
  <si>
    <t>8. Estrategia de búsqueda</t>
  </si>
  <si>
    <t>16 cadenas (fitopatológicas, tecnológicas y complementarias C16–C18) con fecha.</t>
  </si>
  <si>
    <t>9. Gestión y deduplicación</t>
  </si>
  <si>
    <t>Duplicados dentro de cada base y entre bases (A0040, A0044, A0047, A0048).</t>
  </si>
  <si>
    <t>10. Selección de estudios</t>
  </si>
  <si>
    <t>Un revisor principal; la tutora verifica dudosos y el 10 % de excluidos.</t>
  </si>
  <si>
    <t>11. Revisiones</t>
  </si>
  <si>
    <t>Se retiran antes del cribado ('otros motivos') y se usan en el estado del arte.</t>
  </si>
  <si>
    <t>12. Extracción de datos</t>
  </si>
  <si>
    <t>Campos fitopatológicos y tecnológicos de la hoja Articulos_finales.</t>
  </si>
  <si>
    <t>13. Calidad Q1–Q10</t>
  </si>
  <si>
    <t>Escala 0/1/2 por categoría; Alta 16–20, Media 11–15, Baja ≤ 10.</t>
  </si>
  <si>
    <t>14. Síntesis y decisión final</t>
  </si>
  <si>
    <t>Incluir si calidad y alineación son Alta o Media; si no, Reserva.</t>
  </si>
  <si>
    <t>15–21. Secciones finales</t>
  </si>
  <si>
    <t>Limitaciones (sin hits registrados, sin IEEE/WoS), cronograma y herramientas.</t>
  </si>
  <si>
    <t>22. Referencias</t>
  </si>
  <si>
    <t>Solo Grupos v2; PRISMA y Kitchenham por cita secundaria.</t>
  </si>
  <si>
    <t>Fundamentos IA, VC, DL e IPO</t>
  </si>
  <si>
    <t>Documento de apoyo de la Act. 1 con fuentes de Grupos v2.</t>
  </si>
  <si>
    <t>Validación</t>
  </si>
  <si>
    <t>Validado por el autor el 01/10/2026; enviar a la tutora con el Avance A1.</t>
  </si>
  <si>
    <t>Avance del checklist</t>
  </si>
  <si>
    <t>1. Cada día, en la hoja Itinerario, cambia el Estado de tus tareas (Pendiente - En curso - Completado).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</si>
</sst>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"/>
    <numFmt numFmtId="166" formatCode="0.0%"/>
    <numFmt numFmtId="167" formatCode="\+0.0%;\-0.0%;0.0%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6" fillId="4" borderId="1" xfId="0" applyFont="1" applyFill="1" applyBorder="1"/>
    <xf numFmtId="164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9" fontId="5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0" fillId="0" borderId="0" xfId="0"/>
  </cellXfs>
  <cellStyles count="1">
    <cellStyle name="Normal" xfId="0" builtinId="0"/>
  </cellStyles>
  <dxfs count="11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tabSelected="1" topLeftCell="A20" workbookViewId="0">
      <selection activeCell="B33" sqref="B33:H33"/>
    </sheetView>
  </sheetViews>
  <sheetFormatPr baseColWidth="10" defaultColWidth="8.88671875" defaultRowHeight="14.4" x14ac:dyDescent="0.3"/>
  <cols>
    <col min="1" max="1" width="3" customWidth="1"/>
    <col min="2" max="2" width="40" customWidth="1"/>
    <col min="3" max="3" width="45.44140625" customWidth="1"/>
    <col min="4" max="7" width="14" customWidth="1"/>
    <col min="8" max="8" width="30" customWidth="1"/>
  </cols>
  <sheetData>
    <row r="1" spans="1:3" ht="17.399999999999999" customHeight="1" x14ac:dyDescent="0.3">
      <c r="A1" s="1" t="s">
        <v>367</v>
      </c>
    </row>
    <row r="2" spans="1:3" x14ac:dyDescent="0.3">
      <c r="A2" s="2" t="s">
        <v>368</v>
      </c>
    </row>
    <row r="4" spans="1:3" x14ac:dyDescent="0.3">
      <c r="B4" s="3" t="s">
        <v>369</v>
      </c>
    </row>
    <row r="5" spans="1:3" x14ac:dyDescent="0.3">
      <c r="B5" s="4" t="s">
        <v>370</v>
      </c>
      <c r="C5" s="5">
        <v>46293</v>
      </c>
    </row>
    <row r="6" spans="1:3" x14ac:dyDescent="0.3">
      <c r="B6" s="4" t="s">
        <v>371</v>
      </c>
      <c r="C6" s="5">
        <v>46374</v>
      </c>
    </row>
    <row r="7" spans="1:3" x14ac:dyDescent="0.3">
      <c r="B7" s="4" t="s">
        <v>372</v>
      </c>
      <c r="C7" s="5">
        <f ca="1">TODAY()</f>
        <v>46297</v>
      </c>
    </row>
    <row r="8" spans="1:3" x14ac:dyDescent="0.3">
      <c r="B8" s="4" t="s">
        <v>373</v>
      </c>
      <c r="C8" s="6">
        <f>SUM(Itinerario!$H$5:$H$84)</f>
        <v>240</v>
      </c>
    </row>
    <row r="9" spans="1:3" x14ac:dyDescent="0.3">
      <c r="B9" s="4" t="s">
        <v>374</v>
      </c>
      <c r="C9" s="7">
        <f>SUMPRODUCT(Itinerario!$H$5:$H$84,Itinerario!$M$5:$M$84)</f>
        <v>72</v>
      </c>
    </row>
    <row r="10" spans="1:3" x14ac:dyDescent="0.3">
      <c r="B10" s="4" t="s">
        <v>375</v>
      </c>
      <c r="C10" s="8">
        <f>IF(C8=0,0,C9/C8)</f>
        <v>0.3</v>
      </c>
    </row>
    <row r="11" spans="1:3" x14ac:dyDescent="0.3">
      <c r="B11" s="4" t="s">
        <v>376</v>
      </c>
      <c r="C11" s="9">
        <f ca="1">IF(C8=0,0,SUMIFS(Itinerario!$H$5:$H$84,Itinerario!$B$5:$B$84,"&lt;="&amp;C7)/C8)</f>
        <v>0.125</v>
      </c>
    </row>
    <row r="12" spans="1:3" x14ac:dyDescent="0.3">
      <c r="B12" s="4" t="s">
        <v>377</v>
      </c>
      <c r="C12" s="10">
        <f ca="1">C10-C11</f>
        <v>0.17499999999999999</v>
      </c>
    </row>
    <row r="13" spans="1:3" x14ac:dyDescent="0.3">
      <c r="B13" s="4" t="s">
        <v>378</v>
      </c>
      <c r="C13" s="11" t="str">
        <f ca="1">IF(C12&gt;=0,"Al día o adelantado","Atrasado")</f>
        <v>Al día o adelantado</v>
      </c>
    </row>
    <row r="14" spans="1:3" x14ac:dyDescent="0.3">
      <c r="B14" s="4" t="s">
        <v>379</v>
      </c>
      <c r="C14" s="12" t="str">
        <f>COUNTIF(Itinerario!$L$5:$L$84,"Completado")&amp;" de "&amp;COUNTA(Itinerario!$G$5:$G$84)</f>
        <v>22 de 80</v>
      </c>
    </row>
    <row r="15" spans="1:3" x14ac:dyDescent="0.3">
      <c r="B15" s="4" t="s">
        <v>380</v>
      </c>
      <c r="C15" s="6">
        <f>COUNTIF(Itinerario!$L$5:$L$84,"En curso")</f>
        <v>4</v>
      </c>
    </row>
    <row r="16" spans="1:3" x14ac:dyDescent="0.3">
      <c r="B16" s="4" t="s">
        <v>381</v>
      </c>
      <c r="C16" s="6">
        <f ca="1">COUNTIF(Itinerario!$N$5:$N$84,"Atrasada")</f>
        <v>0</v>
      </c>
    </row>
    <row r="17" spans="2:7" x14ac:dyDescent="0.3">
      <c r="B17" s="4" t="s">
        <v>382</v>
      </c>
      <c r="C17" s="13">
        <f>Checklist_Protocolo!D24</f>
        <v>1</v>
      </c>
    </row>
    <row r="18" spans="2:7" x14ac:dyDescent="0.3">
      <c r="B18" s="4" t="s">
        <v>383</v>
      </c>
      <c r="C18" s="12" t="str">
        <f>IFERROR(INDEX(Avances!$A$5:$A$16,MATCH(_xlfn.MINIFS(Avances!$E$5:$E$16,Avances!$I$5:$I$16,"Pendiente"),Avances!$E$5:$E$16,0))&amp;" – "&amp;INDEX(Avances!$B$5:$B$16,MATCH(_xlfn.MINIFS(Avances!$E$5:$E$16,Avances!$I$5:$I$16,"Pendiente"),Avances!$E$5:$E$16,0)),"Todos enviados")</f>
        <v>A1 – Protocolo de la SLR (v3) + fundamentos</v>
      </c>
    </row>
    <row r="19" spans="2:7" x14ac:dyDescent="0.3">
      <c r="B19" s="4" t="s">
        <v>384</v>
      </c>
      <c r="C19" s="5">
        <f>IFERROR(1/(1/_xlfn.MINIFS(Avances!$E$5:$E$16,Avances!$I$5:$I$16,"Pendiente")),"-")</f>
        <v>46295</v>
      </c>
    </row>
    <row r="21" spans="2:7" x14ac:dyDescent="0.3">
      <c r="B21" s="3" t="s">
        <v>385</v>
      </c>
    </row>
    <row r="22" spans="2:7" x14ac:dyDescent="0.3">
      <c r="B22" s="14" t="s">
        <v>5</v>
      </c>
      <c r="C22" s="14" t="s">
        <v>386</v>
      </c>
      <c r="D22" s="14" t="s">
        <v>9</v>
      </c>
      <c r="E22" s="14" t="s">
        <v>387</v>
      </c>
      <c r="F22" s="14" t="s">
        <v>14</v>
      </c>
      <c r="G22" s="14" t="s">
        <v>388</v>
      </c>
    </row>
    <row r="23" spans="2:7" x14ac:dyDescent="0.3">
      <c r="B23" s="15" t="s">
        <v>19</v>
      </c>
      <c r="C23" s="16" t="s">
        <v>389</v>
      </c>
      <c r="D23" s="16">
        <f>SUMIFS(Itinerario!$H$5:$H$84,Itinerario!$D$5:$D$84,B23)</f>
        <v>18</v>
      </c>
      <c r="E23" s="17">
        <f>SUMPRODUCT((Itinerario!$D$5:$D$84=B23)*Itinerario!$H$5:$H$84*Itinerario!$M$5:$M$84)</f>
        <v>18</v>
      </c>
      <c r="F23" s="18">
        <f t="shared" ref="F23:F30" si="0">IF(D23=0,0,E23/D23)</f>
        <v>1</v>
      </c>
      <c r="G23" s="16" t="str">
        <f>COUNTIFS(Itinerario!$D$5:$D$84,B23,Itinerario!$L$5:$L$84,"Completado")&amp;" / "&amp;COUNTIF(Itinerario!$D$5:$D$84,B23)</f>
        <v>6 / 6</v>
      </c>
    </row>
    <row r="24" spans="2:7" x14ac:dyDescent="0.3">
      <c r="B24" s="15" t="s">
        <v>51</v>
      </c>
      <c r="C24" s="16" t="s">
        <v>390</v>
      </c>
      <c r="D24" s="16">
        <f>SUMIFS(Itinerario!$H$5:$H$84,Itinerario!$D$5:$D$84,B24)</f>
        <v>66</v>
      </c>
      <c r="E24" s="17">
        <f>SUMPRODUCT((Itinerario!$D$5:$D$84=B24)*Itinerario!$H$5:$H$84*Itinerario!$M$5:$M$84)</f>
        <v>54</v>
      </c>
      <c r="F24" s="18">
        <f t="shared" si="0"/>
        <v>0.81818181818181823</v>
      </c>
      <c r="G24" s="16" t="str">
        <f>COUNTIFS(Itinerario!$D$5:$D$84,B24,Itinerario!$L$5:$L$84,"Completado")&amp;" / "&amp;COUNTIF(Itinerario!$D$5:$D$84,B24)</f>
        <v>16 / 22</v>
      </c>
    </row>
    <row r="25" spans="2:7" x14ac:dyDescent="0.3">
      <c r="B25" s="15" t="s">
        <v>166</v>
      </c>
      <c r="C25" s="16" t="s">
        <v>391</v>
      </c>
      <c r="D25" s="16">
        <f>SUMIFS(Itinerario!$H$5:$H$84,Itinerario!$D$5:$D$84,B25)</f>
        <v>42</v>
      </c>
      <c r="E25" s="17">
        <f>SUMPRODUCT((Itinerario!$D$5:$D$84=B25)*Itinerario!$H$5:$H$84*Itinerario!$M$5:$M$84)</f>
        <v>0</v>
      </c>
      <c r="F25" s="18">
        <f t="shared" si="0"/>
        <v>0</v>
      </c>
      <c r="G25" s="16" t="str">
        <f>COUNTIFS(Itinerario!$D$5:$D$84,B25,Itinerario!$L$5:$L$84,"Completado")&amp;" / "&amp;COUNTIF(Itinerario!$D$5:$D$84,B25)</f>
        <v>0 / 14</v>
      </c>
    </row>
    <row r="26" spans="2:7" x14ac:dyDescent="0.3">
      <c r="B26" s="15" t="s">
        <v>222</v>
      </c>
      <c r="C26" s="16" t="s">
        <v>392</v>
      </c>
      <c r="D26" s="16">
        <f>SUMIFS(Itinerario!$H$5:$H$84,Itinerario!$D$5:$D$84,B26)</f>
        <v>30</v>
      </c>
      <c r="E26" s="17">
        <f>SUMPRODUCT((Itinerario!$D$5:$D$84=B26)*Itinerario!$H$5:$H$84*Itinerario!$M$5:$M$84)</f>
        <v>0</v>
      </c>
      <c r="F26" s="18">
        <f t="shared" si="0"/>
        <v>0</v>
      </c>
      <c r="G26" s="16" t="str">
        <f>COUNTIFS(Itinerario!$D$5:$D$84,B26,Itinerario!$L$5:$L$84,"Completado")&amp;" / "&amp;COUNTIF(Itinerario!$D$5:$D$84,B26)</f>
        <v>0 / 10</v>
      </c>
    </row>
    <row r="27" spans="2:7" x14ac:dyDescent="0.3">
      <c r="B27" s="15" t="s">
        <v>257</v>
      </c>
      <c r="C27" s="16" t="s">
        <v>393</v>
      </c>
      <c r="D27" s="16">
        <f>SUMIFS(Itinerario!$H$5:$H$84,Itinerario!$D$5:$D$84,B27)</f>
        <v>12</v>
      </c>
      <c r="E27" s="17">
        <f>SUMPRODUCT((Itinerario!$D$5:$D$84=B27)*Itinerario!$H$5:$H$84*Itinerario!$M$5:$M$84)</f>
        <v>0</v>
      </c>
      <c r="F27" s="18">
        <f t="shared" si="0"/>
        <v>0</v>
      </c>
      <c r="G27" s="16" t="str">
        <f>COUNTIFS(Itinerario!$D$5:$D$84,B27,Itinerario!$L$5:$L$84,"Completado")&amp;" / "&amp;COUNTIF(Itinerario!$D$5:$D$84,B27)</f>
        <v>0 / 4</v>
      </c>
    </row>
    <row r="28" spans="2:7" x14ac:dyDescent="0.3">
      <c r="B28" s="15" t="s">
        <v>275</v>
      </c>
      <c r="C28" s="16" t="s">
        <v>394</v>
      </c>
      <c r="D28" s="16">
        <f>SUMIFS(Itinerario!$H$5:$H$84,Itinerario!$D$5:$D$84,B28)</f>
        <v>36</v>
      </c>
      <c r="E28" s="17">
        <f>SUMPRODUCT((Itinerario!$D$5:$D$84=B28)*Itinerario!$H$5:$H$84*Itinerario!$M$5:$M$84)</f>
        <v>0</v>
      </c>
      <c r="F28" s="18">
        <f t="shared" si="0"/>
        <v>0</v>
      </c>
      <c r="G28" s="16" t="str">
        <f>COUNTIFS(Itinerario!$D$5:$D$84,B28,Itinerario!$L$5:$L$84,"Completado")&amp;" / "&amp;COUNTIF(Itinerario!$D$5:$D$84,B28)</f>
        <v>0 / 12</v>
      </c>
    </row>
    <row r="29" spans="2:7" x14ac:dyDescent="0.3">
      <c r="B29" s="15" t="s">
        <v>318</v>
      </c>
      <c r="C29" s="16" t="s">
        <v>395</v>
      </c>
      <c r="D29" s="16">
        <f>SUMIFS(Itinerario!$H$5:$H$84,Itinerario!$D$5:$D$84,B29)</f>
        <v>18</v>
      </c>
      <c r="E29" s="17">
        <f>SUMPRODUCT((Itinerario!$D$5:$D$84=B29)*Itinerario!$H$5:$H$84*Itinerario!$M$5:$M$84)</f>
        <v>0</v>
      </c>
      <c r="F29" s="18">
        <f t="shared" si="0"/>
        <v>0</v>
      </c>
      <c r="G29" s="16" t="str">
        <f>COUNTIFS(Itinerario!$D$5:$D$84,B29,Itinerario!$L$5:$L$84,"Completado")&amp;" / "&amp;COUNTIF(Itinerario!$D$5:$D$84,B29)</f>
        <v>0 / 6</v>
      </c>
    </row>
    <row r="30" spans="2:7" x14ac:dyDescent="0.3">
      <c r="B30" s="15" t="s">
        <v>342</v>
      </c>
      <c r="C30" s="16" t="s">
        <v>396</v>
      </c>
      <c r="D30" s="16">
        <f>SUMIFS(Itinerario!$H$5:$H$84,Itinerario!$D$5:$D$84,B30)</f>
        <v>18</v>
      </c>
      <c r="E30" s="17">
        <f>SUMPRODUCT((Itinerario!$D$5:$D$84=B30)*Itinerario!$H$5:$H$84*Itinerario!$M$5:$M$84)</f>
        <v>0</v>
      </c>
      <c r="F30" s="18">
        <f t="shared" si="0"/>
        <v>0</v>
      </c>
      <c r="G30" s="16" t="str">
        <f>COUNTIFS(Itinerario!$D$5:$D$84,B30,Itinerario!$L$5:$L$84,"Completado")&amp;" / "&amp;COUNTIF(Itinerario!$D$5:$D$84,B30)</f>
        <v>0 / 6</v>
      </c>
    </row>
    <row r="32" spans="2:7" x14ac:dyDescent="0.3">
      <c r="B32" s="3" t="s">
        <v>397</v>
      </c>
    </row>
    <row r="33" spans="2:8" x14ac:dyDescent="0.3">
      <c r="B33" s="30" t="s">
        <v>492</v>
      </c>
      <c r="C33" s="31"/>
      <c r="D33" s="31"/>
      <c r="E33" s="31"/>
      <c r="F33" s="31"/>
      <c r="G33" s="31"/>
      <c r="H33" s="31"/>
    </row>
    <row r="34" spans="2:8" x14ac:dyDescent="0.3">
      <c r="B34" s="30" t="s">
        <v>398</v>
      </c>
      <c r="C34" s="31"/>
      <c r="D34" s="31"/>
      <c r="E34" s="31"/>
      <c r="F34" s="31"/>
      <c r="G34" s="31"/>
      <c r="H34" s="31"/>
    </row>
    <row r="35" spans="2:8" x14ac:dyDescent="0.3">
      <c r="B35" s="30" t="s">
        <v>399</v>
      </c>
      <c r="C35" s="31"/>
      <c r="D35" s="31"/>
      <c r="E35" s="31"/>
      <c r="F35" s="31"/>
      <c r="G35" s="31"/>
      <c r="H35" s="31"/>
    </row>
    <row r="36" spans="2:8" x14ac:dyDescent="0.3">
      <c r="B36" s="30" t="s">
        <v>400</v>
      </c>
      <c r="C36" s="31"/>
      <c r="D36" s="31"/>
      <c r="E36" s="31"/>
      <c r="F36" s="31"/>
      <c r="G36" s="31"/>
      <c r="H36" s="31"/>
    </row>
    <row r="37" spans="2:8" x14ac:dyDescent="0.3">
      <c r="B37" s="30" t="s">
        <v>401</v>
      </c>
      <c r="C37" s="31"/>
      <c r="D37" s="31"/>
      <c r="E37" s="31"/>
      <c r="F37" s="31"/>
      <c r="G37" s="31"/>
      <c r="H37" s="31"/>
    </row>
  </sheetData>
  <mergeCells count="5">
    <mergeCell ref="B36:H36"/>
    <mergeCell ref="B35:H35"/>
    <mergeCell ref="B33:H33"/>
    <mergeCell ref="B34:H34"/>
    <mergeCell ref="B37:H37"/>
  </mergeCells>
  <conditionalFormatting sqref="C13">
    <cfRule type="expression" dxfId="10" priority="1">
      <formula>$C$12&lt;0</formula>
    </cfRule>
    <cfRule type="expression" dxfId="9" priority="2">
      <formula>$C$12&gt;=0</formula>
    </cfRule>
  </conditionalFormatting>
  <conditionalFormatting sqref="C16">
    <cfRule type="cellIs" dxfId="8" priority="3" operator="greaterThan">
      <formula>0</formula>
    </cfRule>
  </conditionalFormatting>
  <conditionalFormatting sqref="F23:F30">
    <cfRule type="dataBar" priority="4">
      <dataBar>
        <cfvo type="num" val="0"/>
        <cfvo type="num" val="1"/>
        <color rgb="FF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5"/>
  <sheetViews>
    <sheetView workbookViewId="0">
      <pane xSplit="7" ySplit="4" topLeftCell="L27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7" customWidth="1"/>
    <col min="2" max="2" width="11" customWidth="1"/>
    <col min="3" max="3" width="8" customWidth="1"/>
    <col min="4" max="4" width="26" customWidth="1"/>
    <col min="5" max="5" width="5" customWidth="1"/>
    <col min="6" max="6" width="30" customWidth="1"/>
    <col min="7" max="7" width="38" customWidth="1"/>
    <col min="8" max="8" width="7" customWidth="1"/>
    <col min="9" max="9" width="52" customWidth="1"/>
    <col min="10" max="10" width="28" customWidth="1"/>
    <col min="11" max="11" width="8" customWidth="1"/>
    <col min="12" max="12" width="12" customWidth="1"/>
    <col min="13" max="13" width="9" customWidth="1"/>
    <col min="14" max="14" width="10" customWidth="1"/>
    <col min="15" max="15" width="13" customWidth="1"/>
    <col min="16" max="16" width="40" customWidth="1"/>
  </cols>
  <sheetData>
    <row r="1" spans="1:16" ht="17.399999999999999" customHeight="1" x14ac:dyDescent="0.3">
      <c r="A1" s="1" t="s">
        <v>0</v>
      </c>
    </row>
    <row r="2" spans="1:16" x14ac:dyDescent="0.3">
      <c r="A2" s="2" t="s">
        <v>1</v>
      </c>
    </row>
    <row r="4" spans="1:16" ht="26.4" customHeight="1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</row>
    <row r="5" spans="1:16" ht="39.6" customHeight="1" x14ac:dyDescent="0.3">
      <c r="A5" s="19" t="s">
        <v>18</v>
      </c>
      <c r="B5" s="20">
        <v>46293</v>
      </c>
      <c r="C5" s="19">
        <f>INT((B5-Panel!$C$5)/7)+1</f>
        <v>1</v>
      </c>
      <c r="D5" s="21" t="s">
        <v>19</v>
      </c>
      <c r="E5" s="19">
        <v>1</v>
      </c>
      <c r="F5" s="21" t="s">
        <v>20</v>
      </c>
      <c r="G5" s="21" t="s">
        <v>21</v>
      </c>
      <c r="H5" s="19">
        <v>3</v>
      </c>
      <c r="I5" s="21" t="s">
        <v>22</v>
      </c>
      <c r="J5" s="21" t="s">
        <v>23</v>
      </c>
      <c r="K5" s="19" t="s">
        <v>24</v>
      </c>
      <c r="L5" s="22" t="s">
        <v>25</v>
      </c>
      <c r="M5" s="23">
        <f t="shared" ref="M5:M36" si="0">IF(L5="Completado",1,IF(L5="En curso",0.5,0))</f>
        <v>1</v>
      </c>
      <c r="N5" s="19" t="str">
        <f t="shared" ref="N5:N36" ca="1" si="1">IF(L5="Completado","",IF(B5&lt;TODAY(),"Atrasada",IF(B5=TODAY(),"Hoy","")))</f>
        <v/>
      </c>
      <c r="O5" s="24">
        <v>46296</v>
      </c>
      <c r="P5" s="25" t="s">
        <v>26</v>
      </c>
    </row>
    <row r="6" spans="1:16" ht="39.6" customHeight="1" x14ac:dyDescent="0.3">
      <c r="A6" s="19" t="s">
        <v>27</v>
      </c>
      <c r="B6" s="20">
        <v>46293</v>
      </c>
      <c r="C6" s="19">
        <f>INT((B6-Panel!$C$5)/7)+1</f>
        <v>1</v>
      </c>
      <c r="D6" s="21" t="s">
        <v>19</v>
      </c>
      <c r="E6" s="19">
        <v>1</v>
      </c>
      <c r="F6" s="21" t="s">
        <v>20</v>
      </c>
      <c r="G6" s="21" t="s">
        <v>28</v>
      </c>
      <c r="H6" s="19">
        <v>3</v>
      </c>
      <c r="I6" s="21" t="s">
        <v>29</v>
      </c>
      <c r="J6" s="21" t="s">
        <v>30</v>
      </c>
      <c r="K6" s="19" t="s">
        <v>24</v>
      </c>
      <c r="L6" s="22" t="s">
        <v>25</v>
      </c>
      <c r="M6" s="23">
        <f t="shared" si="0"/>
        <v>1</v>
      </c>
      <c r="N6" s="19" t="str">
        <f t="shared" ca="1" si="1"/>
        <v/>
      </c>
      <c r="O6" s="24">
        <v>46296</v>
      </c>
      <c r="P6" s="25" t="s">
        <v>31</v>
      </c>
    </row>
    <row r="7" spans="1:16" ht="26.4" customHeight="1" x14ac:dyDescent="0.3">
      <c r="A7" s="19" t="s">
        <v>32</v>
      </c>
      <c r="B7" s="20">
        <v>46294</v>
      </c>
      <c r="C7" s="19">
        <f>INT((B7-Panel!$C$5)/7)+1</f>
        <v>1</v>
      </c>
      <c r="D7" s="21" t="s">
        <v>19</v>
      </c>
      <c r="E7" s="19">
        <v>2</v>
      </c>
      <c r="F7" s="21" t="s">
        <v>33</v>
      </c>
      <c r="G7" s="21" t="s">
        <v>34</v>
      </c>
      <c r="H7" s="19">
        <v>3</v>
      </c>
      <c r="I7" s="21" t="s">
        <v>35</v>
      </c>
      <c r="J7" s="21" t="s">
        <v>36</v>
      </c>
      <c r="K7" s="19" t="s">
        <v>24</v>
      </c>
      <c r="L7" s="22" t="s">
        <v>25</v>
      </c>
      <c r="M7" s="23">
        <f t="shared" si="0"/>
        <v>1</v>
      </c>
      <c r="N7" s="19" t="str">
        <f t="shared" ca="1" si="1"/>
        <v/>
      </c>
      <c r="O7" s="24">
        <v>46296</v>
      </c>
      <c r="P7" s="25" t="s">
        <v>37</v>
      </c>
    </row>
    <row r="8" spans="1:16" ht="26.4" customHeight="1" x14ac:dyDescent="0.3">
      <c r="A8" s="19" t="s">
        <v>38</v>
      </c>
      <c r="B8" s="20">
        <v>46294</v>
      </c>
      <c r="C8" s="19">
        <f>INT((B8-Panel!$C$5)/7)+1</f>
        <v>1</v>
      </c>
      <c r="D8" s="21" t="s">
        <v>19</v>
      </c>
      <c r="E8" s="19">
        <v>2</v>
      </c>
      <c r="F8" s="21" t="s">
        <v>33</v>
      </c>
      <c r="G8" s="21" t="s">
        <v>39</v>
      </c>
      <c r="H8" s="19">
        <v>3</v>
      </c>
      <c r="I8" s="21" t="s">
        <v>40</v>
      </c>
      <c r="J8" s="21" t="s">
        <v>36</v>
      </c>
      <c r="K8" s="19" t="s">
        <v>24</v>
      </c>
      <c r="L8" s="22" t="s">
        <v>25</v>
      </c>
      <c r="M8" s="23">
        <f t="shared" si="0"/>
        <v>1</v>
      </c>
      <c r="N8" s="19" t="str">
        <f t="shared" ca="1" si="1"/>
        <v/>
      </c>
      <c r="O8" s="24">
        <v>46296</v>
      </c>
      <c r="P8" s="25" t="s">
        <v>41</v>
      </c>
    </row>
    <row r="9" spans="1:16" ht="26.4" customHeight="1" x14ac:dyDescent="0.3">
      <c r="A9" s="19" t="s">
        <v>42</v>
      </c>
      <c r="B9" s="20">
        <v>46295</v>
      </c>
      <c r="C9" s="19">
        <f>INT((B9-Panel!$C$5)/7)+1</f>
        <v>1</v>
      </c>
      <c r="D9" s="21" t="s">
        <v>19</v>
      </c>
      <c r="E9" s="19">
        <v>2</v>
      </c>
      <c r="F9" s="21" t="s">
        <v>33</v>
      </c>
      <c r="G9" s="21" t="s">
        <v>43</v>
      </c>
      <c r="H9" s="19">
        <v>3</v>
      </c>
      <c r="I9" s="21" t="s">
        <v>44</v>
      </c>
      <c r="J9" s="21" t="s">
        <v>36</v>
      </c>
      <c r="K9" s="19" t="s">
        <v>24</v>
      </c>
      <c r="L9" s="22" t="s">
        <v>25</v>
      </c>
      <c r="M9" s="23">
        <f t="shared" si="0"/>
        <v>1</v>
      </c>
      <c r="N9" s="19" t="str">
        <f t="shared" ca="1" si="1"/>
        <v/>
      </c>
      <c r="O9" s="24">
        <v>46296</v>
      </c>
      <c r="P9" s="25" t="s">
        <v>45</v>
      </c>
    </row>
    <row r="10" spans="1:16" ht="26.4" customHeight="1" x14ac:dyDescent="0.3">
      <c r="A10" s="19" t="s">
        <v>46</v>
      </c>
      <c r="B10" s="20">
        <v>46295</v>
      </c>
      <c r="C10" s="19">
        <f>INT((B10-Panel!$C$5)/7)+1</f>
        <v>1</v>
      </c>
      <c r="D10" s="21" t="s">
        <v>19</v>
      </c>
      <c r="E10" s="19">
        <v>2</v>
      </c>
      <c r="F10" s="21" t="s">
        <v>33</v>
      </c>
      <c r="G10" s="21" t="s">
        <v>47</v>
      </c>
      <c r="H10" s="19">
        <v>3</v>
      </c>
      <c r="I10" s="21" t="s">
        <v>48</v>
      </c>
      <c r="J10" s="21" t="s">
        <v>36</v>
      </c>
      <c r="K10" s="19" t="s">
        <v>24</v>
      </c>
      <c r="L10" s="22" t="s">
        <v>25</v>
      </c>
      <c r="M10" s="23">
        <f t="shared" si="0"/>
        <v>1</v>
      </c>
      <c r="N10" s="19" t="str">
        <f t="shared" ca="1" si="1"/>
        <v/>
      </c>
      <c r="O10" s="24">
        <v>46296</v>
      </c>
      <c r="P10" s="25" t="s">
        <v>49</v>
      </c>
    </row>
    <row r="11" spans="1:16" ht="52.8" customHeight="1" x14ac:dyDescent="0.3">
      <c r="A11" s="19" t="s">
        <v>50</v>
      </c>
      <c r="B11" s="20">
        <v>46296</v>
      </c>
      <c r="C11" s="19">
        <f>INT((B11-Panel!$C$5)/7)+1</f>
        <v>1</v>
      </c>
      <c r="D11" s="21" t="s">
        <v>51</v>
      </c>
      <c r="E11" s="19">
        <v>3</v>
      </c>
      <c r="F11" s="21" t="s">
        <v>52</v>
      </c>
      <c r="G11" s="21" t="s">
        <v>53</v>
      </c>
      <c r="H11" s="19">
        <v>3</v>
      </c>
      <c r="I11" s="21" t="s">
        <v>54</v>
      </c>
      <c r="J11" s="21" t="s">
        <v>55</v>
      </c>
      <c r="K11" s="19" t="s">
        <v>56</v>
      </c>
      <c r="L11" s="22" t="s">
        <v>25</v>
      </c>
      <c r="M11" s="23">
        <f t="shared" si="0"/>
        <v>1</v>
      </c>
      <c r="N11" s="19" t="str">
        <f t="shared" ca="1" si="1"/>
        <v/>
      </c>
      <c r="O11" s="24">
        <v>46296</v>
      </c>
      <c r="P11" s="25" t="s">
        <v>57</v>
      </c>
    </row>
    <row r="12" spans="1:16" ht="52.8" customHeight="1" x14ac:dyDescent="0.3">
      <c r="A12" s="19" t="s">
        <v>58</v>
      </c>
      <c r="B12" s="20">
        <v>46296</v>
      </c>
      <c r="C12" s="19">
        <f>INT((B12-Panel!$C$5)/7)+1</f>
        <v>1</v>
      </c>
      <c r="D12" s="21" t="s">
        <v>51</v>
      </c>
      <c r="E12" s="19">
        <v>3</v>
      </c>
      <c r="F12" s="21" t="s">
        <v>52</v>
      </c>
      <c r="G12" s="21" t="s">
        <v>59</v>
      </c>
      <c r="H12" s="19">
        <v>3</v>
      </c>
      <c r="I12" s="21" t="s">
        <v>60</v>
      </c>
      <c r="J12" s="21" t="s">
        <v>61</v>
      </c>
      <c r="K12" s="19" t="s">
        <v>56</v>
      </c>
      <c r="L12" s="22" t="s">
        <v>25</v>
      </c>
      <c r="M12" s="23">
        <f t="shared" si="0"/>
        <v>1</v>
      </c>
      <c r="N12" s="19" t="str">
        <f t="shared" ca="1" si="1"/>
        <v/>
      </c>
      <c r="O12" s="24">
        <v>46296</v>
      </c>
      <c r="P12" s="25" t="s">
        <v>62</v>
      </c>
    </row>
    <row r="13" spans="1:16" ht="39.6" customHeight="1" x14ac:dyDescent="0.3">
      <c r="A13" s="19" t="s">
        <v>63</v>
      </c>
      <c r="B13" s="20">
        <v>46297</v>
      </c>
      <c r="C13" s="19">
        <f>INT((B13-Panel!$C$5)/7)+1</f>
        <v>1</v>
      </c>
      <c r="D13" s="21" t="s">
        <v>51</v>
      </c>
      <c r="E13" s="19">
        <v>3</v>
      </c>
      <c r="F13" s="21" t="s">
        <v>52</v>
      </c>
      <c r="G13" s="21" t="s">
        <v>64</v>
      </c>
      <c r="H13" s="19">
        <v>3</v>
      </c>
      <c r="I13" s="21" t="s">
        <v>65</v>
      </c>
      <c r="J13" s="21" t="s">
        <v>66</v>
      </c>
      <c r="K13" s="19" t="s">
        <v>56</v>
      </c>
      <c r="L13" s="22" t="s">
        <v>25</v>
      </c>
      <c r="M13" s="23">
        <f t="shared" si="0"/>
        <v>1</v>
      </c>
      <c r="N13" s="19" t="str">
        <f t="shared" ca="1" si="1"/>
        <v/>
      </c>
      <c r="O13" s="24">
        <v>46296</v>
      </c>
      <c r="P13" s="25" t="s">
        <v>67</v>
      </c>
    </row>
    <row r="14" spans="1:16" ht="52.8" customHeight="1" x14ac:dyDescent="0.3">
      <c r="A14" s="19" t="s">
        <v>68</v>
      </c>
      <c r="B14" s="20">
        <v>46297</v>
      </c>
      <c r="C14" s="19">
        <f>INT((B14-Panel!$C$5)/7)+1</f>
        <v>1</v>
      </c>
      <c r="D14" s="21" t="s">
        <v>51</v>
      </c>
      <c r="E14" s="19">
        <v>3</v>
      </c>
      <c r="F14" s="21" t="s">
        <v>52</v>
      </c>
      <c r="G14" s="21" t="s">
        <v>69</v>
      </c>
      <c r="H14" s="19">
        <v>3</v>
      </c>
      <c r="I14" s="21" t="s">
        <v>70</v>
      </c>
      <c r="J14" s="21" t="s">
        <v>61</v>
      </c>
      <c r="K14" s="19" t="s">
        <v>56</v>
      </c>
      <c r="L14" s="22" t="s">
        <v>25</v>
      </c>
      <c r="M14" s="23">
        <f t="shared" si="0"/>
        <v>1</v>
      </c>
      <c r="N14" s="19" t="str">
        <f t="shared" ca="1" si="1"/>
        <v/>
      </c>
      <c r="O14" s="24">
        <v>46296</v>
      </c>
      <c r="P14" s="25" t="s">
        <v>71</v>
      </c>
    </row>
    <row r="15" spans="1:16" ht="52.8" customHeight="1" x14ac:dyDescent="0.3">
      <c r="A15" s="19" t="s">
        <v>72</v>
      </c>
      <c r="B15" s="20">
        <v>46300</v>
      </c>
      <c r="C15" s="19">
        <f>INT((B15-Panel!$C$5)/7)+1</f>
        <v>2</v>
      </c>
      <c r="D15" s="21" t="s">
        <v>51</v>
      </c>
      <c r="E15" s="19">
        <v>4</v>
      </c>
      <c r="F15" s="21" t="s">
        <v>73</v>
      </c>
      <c r="G15" s="21" t="s">
        <v>74</v>
      </c>
      <c r="H15" s="19">
        <v>3</v>
      </c>
      <c r="I15" s="21" t="s">
        <v>75</v>
      </c>
      <c r="J15" s="21" t="s">
        <v>76</v>
      </c>
      <c r="K15" s="19" t="s">
        <v>77</v>
      </c>
      <c r="L15" s="22" t="s">
        <v>25</v>
      </c>
      <c r="M15" s="23">
        <f t="shared" si="0"/>
        <v>1</v>
      </c>
      <c r="N15" s="19" t="str">
        <f t="shared" ca="1" si="1"/>
        <v/>
      </c>
      <c r="O15" s="24">
        <v>46297</v>
      </c>
      <c r="P15" s="25" t="s">
        <v>78</v>
      </c>
    </row>
    <row r="16" spans="1:16" ht="52.8" customHeight="1" x14ac:dyDescent="0.3">
      <c r="A16" s="19" t="s">
        <v>79</v>
      </c>
      <c r="B16" s="20">
        <v>46300</v>
      </c>
      <c r="C16" s="19">
        <f>INT((B16-Panel!$C$5)/7)+1</f>
        <v>2</v>
      </c>
      <c r="D16" s="21" t="s">
        <v>51</v>
      </c>
      <c r="E16" s="19">
        <v>4</v>
      </c>
      <c r="F16" s="21" t="s">
        <v>73</v>
      </c>
      <c r="G16" s="21" t="s">
        <v>80</v>
      </c>
      <c r="H16" s="19">
        <v>3</v>
      </c>
      <c r="I16" s="21" t="s">
        <v>81</v>
      </c>
      <c r="J16" s="21" t="s">
        <v>82</v>
      </c>
      <c r="K16" s="19" t="s">
        <v>77</v>
      </c>
      <c r="L16" s="22" t="s">
        <v>25</v>
      </c>
      <c r="M16" s="23">
        <f t="shared" si="0"/>
        <v>1</v>
      </c>
      <c r="N16" s="19" t="str">
        <f t="shared" ca="1" si="1"/>
        <v/>
      </c>
      <c r="O16" s="24">
        <v>46297</v>
      </c>
      <c r="P16" s="25" t="s">
        <v>83</v>
      </c>
    </row>
    <row r="17" spans="1:16" ht="39.6" customHeight="1" x14ac:dyDescent="0.3">
      <c r="A17" s="19" t="s">
        <v>84</v>
      </c>
      <c r="B17" s="20">
        <v>46301</v>
      </c>
      <c r="C17" s="19">
        <f>INT((B17-Panel!$C$5)/7)+1</f>
        <v>2</v>
      </c>
      <c r="D17" s="21" t="s">
        <v>51</v>
      </c>
      <c r="E17" s="19">
        <v>4</v>
      </c>
      <c r="F17" s="21" t="s">
        <v>73</v>
      </c>
      <c r="G17" s="21" t="s">
        <v>85</v>
      </c>
      <c r="H17" s="19">
        <v>3</v>
      </c>
      <c r="I17" s="21" t="s">
        <v>86</v>
      </c>
      <c r="J17" s="21" t="s">
        <v>87</v>
      </c>
      <c r="K17" s="19" t="s">
        <v>77</v>
      </c>
      <c r="L17" s="22" t="s">
        <v>25</v>
      </c>
      <c r="M17" s="23">
        <f t="shared" si="0"/>
        <v>1</v>
      </c>
      <c r="N17" s="19" t="str">
        <f t="shared" ca="1" si="1"/>
        <v/>
      </c>
      <c r="O17" s="24">
        <v>46297</v>
      </c>
      <c r="P17" s="25" t="s">
        <v>88</v>
      </c>
    </row>
    <row r="18" spans="1:16" ht="52.8" customHeight="1" x14ac:dyDescent="0.3">
      <c r="A18" s="19" t="s">
        <v>89</v>
      </c>
      <c r="B18" s="20">
        <v>46301</v>
      </c>
      <c r="C18" s="19">
        <f>INT((B18-Panel!$C$5)/7)+1</f>
        <v>2</v>
      </c>
      <c r="D18" s="21" t="s">
        <v>51</v>
      </c>
      <c r="E18" s="19">
        <v>4</v>
      </c>
      <c r="F18" s="21" t="s">
        <v>73</v>
      </c>
      <c r="G18" s="21" t="s">
        <v>90</v>
      </c>
      <c r="H18" s="19">
        <v>3</v>
      </c>
      <c r="I18" s="21" t="s">
        <v>91</v>
      </c>
      <c r="J18" s="21" t="s">
        <v>92</v>
      </c>
      <c r="K18" s="19" t="s">
        <v>77</v>
      </c>
      <c r="L18" s="22" t="s">
        <v>25</v>
      </c>
      <c r="M18" s="23">
        <f t="shared" si="0"/>
        <v>1</v>
      </c>
      <c r="N18" s="19" t="str">
        <f t="shared" ca="1" si="1"/>
        <v/>
      </c>
      <c r="O18" s="24">
        <v>46297</v>
      </c>
      <c r="P18" s="25" t="s">
        <v>93</v>
      </c>
    </row>
    <row r="19" spans="1:16" ht="52.8" customHeight="1" x14ac:dyDescent="0.3">
      <c r="A19" s="19" t="s">
        <v>94</v>
      </c>
      <c r="B19" s="20">
        <v>46302</v>
      </c>
      <c r="C19" s="19">
        <f>INT((B19-Panel!$C$5)/7)+1</f>
        <v>2</v>
      </c>
      <c r="D19" s="21" t="s">
        <v>51</v>
      </c>
      <c r="E19" s="19">
        <v>5</v>
      </c>
      <c r="F19" s="21" t="s">
        <v>95</v>
      </c>
      <c r="G19" s="21" t="s">
        <v>96</v>
      </c>
      <c r="H19" s="19">
        <v>3</v>
      </c>
      <c r="I19" s="21" t="s">
        <v>97</v>
      </c>
      <c r="J19" s="21" t="s">
        <v>98</v>
      </c>
      <c r="K19" s="19" t="s">
        <v>77</v>
      </c>
      <c r="L19" s="22" t="s">
        <v>25</v>
      </c>
      <c r="M19" s="23">
        <f t="shared" si="0"/>
        <v>1</v>
      </c>
      <c r="N19" s="19" t="str">
        <f t="shared" ca="1" si="1"/>
        <v/>
      </c>
      <c r="O19" s="24">
        <v>46297</v>
      </c>
      <c r="P19" s="25" t="s">
        <v>99</v>
      </c>
    </row>
    <row r="20" spans="1:16" ht="52.8" customHeight="1" x14ac:dyDescent="0.3">
      <c r="A20" s="19" t="s">
        <v>100</v>
      </c>
      <c r="B20" s="20">
        <v>46302</v>
      </c>
      <c r="C20" s="19">
        <f>INT((B20-Panel!$C$5)/7)+1</f>
        <v>2</v>
      </c>
      <c r="D20" s="21" t="s">
        <v>51</v>
      </c>
      <c r="E20" s="19">
        <v>5</v>
      </c>
      <c r="F20" s="21" t="s">
        <v>95</v>
      </c>
      <c r="G20" s="21" t="s">
        <v>101</v>
      </c>
      <c r="H20" s="19">
        <v>3</v>
      </c>
      <c r="I20" s="21" t="s">
        <v>102</v>
      </c>
      <c r="J20" s="21" t="s">
        <v>98</v>
      </c>
      <c r="K20" s="19" t="s">
        <v>77</v>
      </c>
      <c r="L20" s="22" t="s">
        <v>25</v>
      </c>
      <c r="M20" s="23">
        <f t="shared" si="0"/>
        <v>1</v>
      </c>
      <c r="N20" s="19" t="str">
        <f t="shared" ca="1" si="1"/>
        <v/>
      </c>
      <c r="O20" s="24">
        <v>46297</v>
      </c>
      <c r="P20" s="25" t="s">
        <v>103</v>
      </c>
    </row>
    <row r="21" spans="1:16" ht="52.8" customHeight="1" x14ac:dyDescent="0.3">
      <c r="A21" s="19" t="s">
        <v>104</v>
      </c>
      <c r="B21" s="20">
        <v>46303</v>
      </c>
      <c r="C21" s="19">
        <f>INT((B21-Panel!$C$5)/7)+1</f>
        <v>2</v>
      </c>
      <c r="D21" s="21" t="s">
        <v>51</v>
      </c>
      <c r="E21" s="19">
        <v>6</v>
      </c>
      <c r="F21" s="21" t="s">
        <v>105</v>
      </c>
      <c r="G21" s="21" t="s">
        <v>106</v>
      </c>
      <c r="H21" s="19">
        <v>3</v>
      </c>
      <c r="I21" s="21" t="s">
        <v>107</v>
      </c>
      <c r="J21" s="21" t="s">
        <v>108</v>
      </c>
      <c r="K21" s="19" t="s">
        <v>77</v>
      </c>
      <c r="L21" s="22" t="s">
        <v>25</v>
      </c>
      <c r="M21" s="23">
        <f t="shared" si="0"/>
        <v>1</v>
      </c>
      <c r="N21" s="19" t="str">
        <f t="shared" ca="1" si="1"/>
        <v/>
      </c>
      <c r="O21" s="24">
        <v>46297</v>
      </c>
      <c r="P21" s="25" t="s">
        <v>109</v>
      </c>
    </row>
    <row r="22" spans="1:16" ht="52.8" customHeight="1" x14ac:dyDescent="0.3">
      <c r="A22" s="19" t="s">
        <v>110</v>
      </c>
      <c r="B22" s="20">
        <v>46303</v>
      </c>
      <c r="C22" s="19">
        <f>INT((B22-Panel!$C$5)/7)+1</f>
        <v>2</v>
      </c>
      <c r="D22" s="21" t="s">
        <v>51</v>
      </c>
      <c r="E22" s="19">
        <v>6</v>
      </c>
      <c r="F22" s="21" t="s">
        <v>105</v>
      </c>
      <c r="G22" s="21" t="s">
        <v>111</v>
      </c>
      <c r="H22" s="19">
        <v>3</v>
      </c>
      <c r="I22" s="21" t="s">
        <v>112</v>
      </c>
      <c r="J22" s="21" t="s">
        <v>108</v>
      </c>
      <c r="K22" s="19" t="s">
        <v>77</v>
      </c>
      <c r="L22" s="22" t="s">
        <v>25</v>
      </c>
      <c r="M22" s="23">
        <f t="shared" si="0"/>
        <v>1</v>
      </c>
      <c r="N22" s="19" t="str">
        <f t="shared" ca="1" si="1"/>
        <v/>
      </c>
      <c r="O22" s="24">
        <v>46297</v>
      </c>
      <c r="P22" s="25" t="s">
        <v>113</v>
      </c>
    </row>
    <row r="23" spans="1:16" ht="52.8" customHeight="1" x14ac:dyDescent="0.3">
      <c r="A23" s="19" t="s">
        <v>114</v>
      </c>
      <c r="B23" s="20">
        <v>46304</v>
      </c>
      <c r="C23" s="19">
        <f>INT((B23-Panel!$C$5)/7)+1</f>
        <v>2</v>
      </c>
      <c r="D23" s="21" t="s">
        <v>51</v>
      </c>
      <c r="E23" s="19">
        <v>6</v>
      </c>
      <c r="F23" s="21" t="s">
        <v>105</v>
      </c>
      <c r="G23" s="21" t="s">
        <v>115</v>
      </c>
      <c r="H23" s="19">
        <v>3</v>
      </c>
      <c r="I23" s="21" t="s">
        <v>116</v>
      </c>
      <c r="J23" s="21" t="s">
        <v>117</v>
      </c>
      <c r="K23" s="19" t="s">
        <v>77</v>
      </c>
      <c r="L23" s="22" t="s">
        <v>25</v>
      </c>
      <c r="M23" s="23">
        <f t="shared" si="0"/>
        <v>1</v>
      </c>
      <c r="N23" s="19" t="str">
        <f t="shared" ca="1" si="1"/>
        <v/>
      </c>
      <c r="O23" s="24">
        <v>46297</v>
      </c>
      <c r="P23" s="25" t="s">
        <v>118</v>
      </c>
    </row>
    <row r="24" spans="1:16" ht="52.8" customHeight="1" x14ac:dyDescent="0.3">
      <c r="A24" s="19" t="s">
        <v>119</v>
      </c>
      <c r="B24" s="20">
        <v>46304</v>
      </c>
      <c r="C24" s="19">
        <f>INT((B24-Panel!$C$5)/7)+1</f>
        <v>2</v>
      </c>
      <c r="D24" s="21" t="s">
        <v>51</v>
      </c>
      <c r="E24" s="19">
        <v>6</v>
      </c>
      <c r="F24" s="21" t="s">
        <v>105</v>
      </c>
      <c r="G24" s="21" t="s">
        <v>120</v>
      </c>
      <c r="H24" s="19">
        <v>3</v>
      </c>
      <c r="I24" s="21" t="s">
        <v>121</v>
      </c>
      <c r="J24" s="21" t="s">
        <v>122</v>
      </c>
      <c r="K24" s="19" t="s">
        <v>77</v>
      </c>
      <c r="L24" s="22" t="s">
        <v>25</v>
      </c>
      <c r="M24" s="23">
        <f t="shared" si="0"/>
        <v>1</v>
      </c>
      <c r="N24" s="19" t="str">
        <f t="shared" ca="1" si="1"/>
        <v/>
      </c>
      <c r="O24" s="24">
        <v>46297</v>
      </c>
      <c r="P24" s="25" t="s">
        <v>123</v>
      </c>
    </row>
    <row r="25" spans="1:16" ht="39.6" customHeight="1" x14ac:dyDescent="0.3">
      <c r="A25" s="19" t="s">
        <v>124</v>
      </c>
      <c r="B25" s="20">
        <v>46307</v>
      </c>
      <c r="C25" s="19">
        <f>INT((B25-Panel!$C$5)/7)+1</f>
        <v>3</v>
      </c>
      <c r="D25" s="21" t="s">
        <v>51</v>
      </c>
      <c r="E25" s="19">
        <v>7</v>
      </c>
      <c r="F25" s="21" t="s">
        <v>125</v>
      </c>
      <c r="G25" s="21" t="s">
        <v>126</v>
      </c>
      <c r="H25" s="19">
        <v>3</v>
      </c>
      <c r="I25" s="21" t="s">
        <v>127</v>
      </c>
      <c r="J25" s="21" t="s">
        <v>128</v>
      </c>
      <c r="K25" s="19" t="s">
        <v>129</v>
      </c>
      <c r="L25" s="22" t="s">
        <v>25</v>
      </c>
      <c r="M25" s="23">
        <f t="shared" si="0"/>
        <v>1</v>
      </c>
      <c r="N25" s="19" t="str">
        <f t="shared" ca="1" si="1"/>
        <v/>
      </c>
      <c r="O25" s="24">
        <v>46297</v>
      </c>
      <c r="P25" s="25" t="s">
        <v>130</v>
      </c>
    </row>
    <row r="26" spans="1:16" ht="26.4" customHeight="1" x14ac:dyDescent="0.3">
      <c r="A26" s="19" t="s">
        <v>131</v>
      </c>
      <c r="B26" s="20">
        <v>46307</v>
      </c>
      <c r="C26" s="19">
        <f>INT((B26-Panel!$C$5)/7)+1</f>
        <v>3</v>
      </c>
      <c r="D26" s="21" t="s">
        <v>51</v>
      </c>
      <c r="E26" s="19">
        <v>7</v>
      </c>
      <c r="F26" s="21" t="s">
        <v>125</v>
      </c>
      <c r="G26" s="21" t="s">
        <v>132</v>
      </c>
      <c r="H26" s="19">
        <v>3</v>
      </c>
      <c r="I26" s="21" t="s">
        <v>133</v>
      </c>
      <c r="J26" s="21" t="s">
        <v>128</v>
      </c>
      <c r="K26" s="19" t="s">
        <v>129</v>
      </c>
      <c r="L26" s="22" t="s">
        <v>25</v>
      </c>
      <c r="M26" s="23">
        <f t="shared" si="0"/>
        <v>1</v>
      </c>
      <c r="N26" s="19" t="str">
        <f t="shared" ca="1" si="1"/>
        <v/>
      </c>
      <c r="O26" s="24">
        <v>46297</v>
      </c>
      <c r="P26" s="25" t="s">
        <v>134</v>
      </c>
    </row>
    <row r="27" spans="1:16" ht="26.4" customHeight="1" x14ac:dyDescent="0.3">
      <c r="A27" s="19" t="s">
        <v>135</v>
      </c>
      <c r="B27" s="20">
        <v>46308</v>
      </c>
      <c r="C27" s="19">
        <f>INT((B27-Panel!$C$5)/7)+1</f>
        <v>3</v>
      </c>
      <c r="D27" s="21" t="s">
        <v>51</v>
      </c>
      <c r="E27" s="19">
        <v>8</v>
      </c>
      <c r="F27" s="21" t="s">
        <v>136</v>
      </c>
      <c r="G27" s="21" t="s">
        <v>137</v>
      </c>
      <c r="H27" s="19">
        <v>3</v>
      </c>
      <c r="I27" s="21" t="s">
        <v>138</v>
      </c>
      <c r="J27" s="21" t="s">
        <v>139</v>
      </c>
      <c r="K27" s="19" t="s">
        <v>129</v>
      </c>
      <c r="L27" s="22" t="s">
        <v>140</v>
      </c>
      <c r="M27" s="23">
        <f t="shared" si="0"/>
        <v>0.5</v>
      </c>
      <c r="N27" s="19" t="str">
        <f t="shared" ca="1" si="1"/>
        <v/>
      </c>
      <c r="O27" s="24"/>
      <c r="P27" s="25" t="s">
        <v>141</v>
      </c>
    </row>
    <row r="28" spans="1:16" ht="26.4" customHeight="1" x14ac:dyDescent="0.3">
      <c r="A28" s="19" t="s">
        <v>142</v>
      </c>
      <c r="B28" s="20">
        <v>46308</v>
      </c>
      <c r="C28" s="19">
        <f>INT((B28-Panel!$C$5)/7)+1</f>
        <v>3</v>
      </c>
      <c r="D28" s="21" t="s">
        <v>51</v>
      </c>
      <c r="E28" s="19">
        <v>8</v>
      </c>
      <c r="F28" s="21" t="s">
        <v>136</v>
      </c>
      <c r="G28" s="21" t="s">
        <v>143</v>
      </c>
      <c r="H28" s="19">
        <v>3</v>
      </c>
      <c r="I28" s="21" t="s">
        <v>144</v>
      </c>
      <c r="J28" s="21" t="s">
        <v>139</v>
      </c>
      <c r="K28" s="19" t="s">
        <v>129</v>
      </c>
      <c r="L28" s="22" t="s">
        <v>140</v>
      </c>
      <c r="M28" s="23">
        <f t="shared" si="0"/>
        <v>0.5</v>
      </c>
      <c r="N28" s="19" t="str">
        <f t="shared" ca="1" si="1"/>
        <v/>
      </c>
      <c r="O28" s="24"/>
      <c r="P28" s="25" t="s">
        <v>145</v>
      </c>
    </row>
    <row r="29" spans="1:16" ht="26.4" customHeight="1" x14ac:dyDescent="0.3">
      <c r="A29" s="19" t="s">
        <v>146</v>
      </c>
      <c r="B29" s="20">
        <v>46309</v>
      </c>
      <c r="C29" s="19">
        <f>INT((B29-Panel!$C$5)/7)+1</f>
        <v>3</v>
      </c>
      <c r="D29" s="21" t="s">
        <v>51</v>
      </c>
      <c r="E29" s="19">
        <v>8</v>
      </c>
      <c r="F29" s="21" t="s">
        <v>136</v>
      </c>
      <c r="G29" s="21" t="s">
        <v>147</v>
      </c>
      <c r="H29" s="19">
        <v>3</v>
      </c>
      <c r="I29" s="21" t="s">
        <v>148</v>
      </c>
      <c r="J29" s="21" t="s">
        <v>139</v>
      </c>
      <c r="K29" s="19" t="s">
        <v>129</v>
      </c>
      <c r="L29" s="22" t="s">
        <v>140</v>
      </c>
      <c r="M29" s="23">
        <f t="shared" si="0"/>
        <v>0.5</v>
      </c>
      <c r="N29" s="19" t="str">
        <f t="shared" ca="1" si="1"/>
        <v/>
      </c>
      <c r="O29" s="24"/>
      <c r="P29" s="25" t="s">
        <v>149</v>
      </c>
    </row>
    <row r="30" spans="1:16" ht="26.4" customHeight="1" x14ac:dyDescent="0.3">
      <c r="A30" s="19" t="s">
        <v>150</v>
      </c>
      <c r="B30" s="20">
        <v>46309</v>
      </c>
      <c r="C30" s="19">
        <f>INT((B30-Panel!$C$5)/7)+1</f>
        <v>3</v>
      </c>
      <c r="D30" s="21" t="s">
        <v>51</v>
      </c>
      <c r="E30" s="19">
        <v>8</v>
      </c>
      <c r="F30" s="21" t="s">
        <v>136</v>
      </c>
      <c r="G30" s="21" t="s">
        <v>151</v>
      </c>
      <c r="H30" s="19">
        <v>3</v>
      </c>
      <c r="I30" s="21" t="s">
        <v>152</v>
      </c>
      <c r="J30" s="21" t="s">
        <v>139</v>
      </c>
      <c r="K30" s="19" t="s">
        <v>129</v>
      </c>
      <c r="L30" s="22" t="s">
        <v>140</v>
      </c>
      <c r="M30" s="23">
        <f t="shared" si="0"/>
        <v>0.5</v>
      </c>
      <c r="N30" s="19" t="str">
        <f t="shared" ca="1" si="1"/>
        <v/>
      </c>
      <c r="O30" s="24"/>
      <c r="P30" s="25" t="s">
        <v>153</v>
      </c>
    </row>
    <row r="31" spans="1:16" ht="52.8" customHeight="1" x14ac:dyDescent="0.3">
      <c r="A31" s="19" t="s">
        <v>154</v>
      </c>
      <c r="B31" s="20">
        <v>46321</v>
      </c>
      <c r="C31" s="19">
        <f>INT((B31-Panel!$C$5)/7)+1</f>
        <v>5</v>
      </c>
      <c r="D31" s="21" t="s">
        <v>51</v>
      </c>
      <c r="E31" s="19">
        <v>9</v>
      </c>
      <c r="F31" s="21" t="s">
        <v>155</v>
      </c>
      <c r="G31" s="21" t="s">
        <v>156</v>
      </c>
      <c r="H31" s="19">
        <v>3</v>
      </c>
      <c r="I31" s="21" t="s">
        <v>157</v>
      </c>
      <c r="J31" s="21" t="s">
        <v>158</v>
      </c>
      <c r="K31" s="19" t="s">
        <v>159</v>
      </c>
      <c r="L31" s="22" t="s">
        <v>160</v>
      </c>
      <c r="M31" s="23">
        <f t="shared" si="0"/>
        <v>0</v>
      </c>
      <c r="N31" s="19" t="str">
        <f t="shared" ca="1" si="1"/>
        <v/>
      </c>
      <c r="O31" s="24"/>
      <c r="P31" s="25"/>
    </row>
    <row r="32" spans="1:16" ht="26.4" customHeight="1" x14ac:dyDescent="0.3">
      <c r="A32" s="19" t="s">
        <v>161</v>
      </c>
      <c r="B32" s="20">
        <v>46321</v>
      </c>
      <c r="C32" s="19">
        <f>INT((B32-Panel!$C$5)/7)+1</f>
        <v>5</v>
      </c>
      <c r="D32" s="21" t="s">
        <v>51</v>
      </c>
      <c r="E32" s="19">
        <v>9</v>
      </c>
      <c r="F32" s="21" t="s">
        <v>155</v>
      </c>
      <c r="G32" s="21" t="s">
        <v>162</v>
      </c>
      <c r="H32" s="19">
        <v>3</v>
      </c>
      <c r="I32" s="21" t="s">
        <v>163</v>
      </c>
      <c r="J32" s="21" t="s">
        <v>164</v>
      </c>
      <c r="K32" s="19" t="s">
        <v>159</v>
      </c>
      <c r="L32" s="22" t="s">
        <v>160</v>
      </c>
      <c r="M32" s="23">
        <f t="shared" si="0"/>
        <v>0</v>
      </c>
      <c r="N32" s="19" t="str">
        <f t="shared" ca="1" si="1"/>
        <v/>
      </c>
      <c r="O32" s="24"/>
      <c r="P32" s="25"/>
    </row>
    <row r="33" spans="1:16" ht="39.6" customHeight="1" x14ac:dyDescent="0.3">
      <c r="A33" s="19" t="s">
        <v>165</v>
      </c>
      <c r="B33" s="20">
        <v>46322</v>
      </c>
      <c r="C33" s="19">
        <f>INT((B33-Panel!$C$5)/7)+1</f>
        <v>5</v>
      </c>
      <c r="D33" s="21" t="s">
        <v>166</v>
      </c>
      <c r="E33" s="19">
        <v>10</v>
      </c>
      <c r="F33" s="21" t="s">
        <v>167</v>
      </c>
      <c r="G33" s="21" t="s">
        <v>168</v>
      </c>
      <c r="H33" s="19">
        <v>3</v>
      </c>
      <c r="I33" s="21" t="s">
        <v>169</v>
      </c>
      <c r="J33" s="21" t="s">
        <v>170</v>
      </c>
      <c r="K33" s="19" t="s">
        <v>171</v>
      </c>
      <c r="L33" s="22" t="s">
        <v>160</v>
      </c>
      <c r="M33" s="23">
        <f t="shared" si="0"/>
        <v>0</v>
      </c>
      <c r="N33" s="19" t="str">
        <f t="shared" ca="1" si="1"/>
        <v/>
      </c>
      <c r="O33" s="24"/>
      <c r="P33" s="25"/>
    </row>
    <row r="34" spans="1:16" ht="39.6" customHeight="1" x14ac:dyDescent="0.3">
      <c r="A34" s="19" t="s">
        <v>172</v>
      </c>
      <c r="B34" s="20">
        <v>46322</v>
      </c>
      <c r="C34" s="19">
        <f>INT((B34-Panel!$C$5)/7)+1</f>
        <v>5</v>
      </c>
      <c r="D34" s="21" t="s">
        <v>166</v>
      </c>
      <c r="E34" s="19">
        <v>10</v>
      </c>
      <c r="F34" s="21" t="s">
        <v>167</v>
      </c>
      <c r="G34" s="21" t="s">
        <v>173</v>
      </c>
      <c r="H34" s="19">
        <v>3</v>
      </c>
      <c r="I34" s="21" t="s">
        <v>174</v>
      </c>
      <c r="J34" s="21" t="s">
        <v>170</v>
      </c>
      <c r="K34" s="19" t="s">
        <v>171</v>
      </c>
      <c r="L34" s="22" t="s">
        <v>160</v>
      </c>
      <c r="M34" s="23">
        <f t="shared" si="0"/>
        <v>0</v>
      </c>
      <c r="N34" s="19" t="str">
        <f t="shared" ca="1" si="1"/>
        <v/>
      </c>
      <c r="O34" s="24"/>
      <c r="P34" s="25"/>
    </row>
    <row r="35" spans="1:16" ht="26.4" customHeight="1" x14ac:dyDescent="0.3">
      <c r="A35" s="19" t="s">
        <v>175</v>
      </c>
      <c r="B35" s="20">
        <v>46323</v>
      </c>
      <c r="C35" s="19">
        <f>INT((B35-Panel!$C$5)/7)+1</f>
        <v>5</v>
      </c>
      <c r="D35" s="21" t="s">
        <v>166</v>
      </c>
      <c r="E35" s="19">
        <v>11</v>
      </c>
      <c r="F35" s="21" t="s">
        <v>176</v>
      </c>
      <c r="G35" s="21" t="s">
        <v>177</v>
      </c>
      <c r="H35" s="19">
        <v>3</v>
      </c>
      <c r="I35" s="21" t="s">
        <v>178</v>
      </c>
      <c r="J35" s="21" t="s">
        <v>179</v>
      </c>
      <c r="K35" s="19" t="s">
        <v>180</v>
      </c>
      <c r="L35" s="22" t="s">
        <v>160</v>
      </c>
      <c r="M35" s="23">
        <f t="shared" si="0"/>
        <v>0</v>
      </c>
      <c r="N35" s="19" t="str">
        <f t="shared" ca="1" si="1"/>
        <v/>
      </c>
      <c r="O35" s="24"/>
      <c r="P35" s="25"/>
    </row>
    <row r="36" spans="1:16" ht="26.4" customHeight="1" x14ac:dyDescent="0.3">
      <c r="A36" s="19" t="s">
        <v>181</v>
      </c>
      <c r="B36" s="20">
        <v>46323</v>
      </c>
      <c r="C36" s="19">
        <f>INT((B36-Panel!$C$5)/7)+1</f>
        <v>5</v>
      </c>
      <c r="D36" s="21" t="s">
        <v>166</v>
      </c>
      <c r="E36" s="19">
        <v>11</v>
      </c>
      <c r="F36" s="21" t="s">
        <v>176</v>
      </c>
      <c r="G36" s="21" t="s">
        <v>182</v>
      </c>
      <c r="H36" s="19">
        <v>3</v>
      </c>
      <c r="I36" s="21" t="s">
        <v>183</v>
      </c>
      <c r="J36" s="21" t="s">
        <v>184</v>
      </c>
      <c r="K36" s="19" t="s">
        <v>180</v>
      </c>
      <c r="L36" s="22" t="s">
        <v>160</v>
      </c>
      <c r="M36" s="23">
        <f t="shared" si="0"/>
        <v>0</v>
      </c>
      <c r="N36" s="19" t="str">
        <f t="shared" ca="1" si="1"/>
        <v/>
      </c>
      <c r="O36" s="24"/>
      <c r="P36" s="25"/>
    </row>
    <row r="37" spans="1:16" ht="26.4" customHeight="1" x14ac:dyDescent="0.3">
      <c r="A37" s="19" t="s">
        <v>185</v>
      </c>
      <c r="B37" s="20">
        <v>46324</v>
      </c>
      <c r="C37" s="19">
        <f>INT((B37-Panel!$C$5)/7)+1</f>
        <v>5</v>
      </c>
      <c r="D37" s="21" t="s">
        <v>166</v>
      </c>
      <c r="E37" s="19">
        <v>11</v>
      </c>
      <c r="F37" s="21" t="s">
        <v>176</v>
      </c>
      <c r="G37" s="21" t="s">
        <v>186</v>
      </c>
      <c r="H37" s="19">
        <v>3</v>
      </c>
      <c r="I37" s="21" t="s">
        <v>187</v>
      </c>
      <c r="J37" s="21" t="s">
        <v>179</v>
      </c>
      <c r="K37" s="19" t="s">
        <v>180</v>
      </c>
      <c r="L37" s="22" t="s">
        <v>160</v>
      </c>
      <c r="M37" s="23">
        <f t="shared" ref="M37:M68" si="2">IF(L37="Completado",1,IF(L37="En curso",0.5,0))</f>
        <v>0</v>
      </c>
      <c r="N37" s="19" t="str">
        <f t="shared" ref="N37:N68" ca="1" si="3">IF(L37="Completado","",IF(B37&lt;TODAY(),"Atrasada",IF(B37=TODAY(),"Hoy","")))</f>
        <v/>
      </c>
      <c r="O37" s="24"/>
      <c r="P37" s="25"/>
    </row>
    <row r="38" spans="1:16" ht="26.4" customHeight="1" x14ac:dyDescent="0.3">
      <c r="A38" s="19" t="s">
        <v>188</v>
      </c>
      <c r="B38" s="20">
        <v>46324</v>
      </c>
      <c r="C38" s="19">
        <f>INT((B38-Panel!$C$5)/7)+1</f>
        <v>5</v>
      </c>
      <c r="D38" s="21" t="s">
        <v>166</v>
      </c>
      <c r="E38" s="19">
        <v>11</v>
      </c>
      <c r="F38" s="21" t="s">
        <v>176</v>
      </c>
      <c r="G38" s="21" t="s">
        <v>189</v>
      </c>
      <c r="H38" s="19">
        <v>3</v>
      </c>
      <c r="I38" s="21" t="s">
        <v>190</v>
      </c>
      <c r="J38" s="21" t="s">
        <v>191</v>
      </c>
      <c r="K38" s="19" t="s">
        <v>180</v>
      </c>
      <c r="L38" s="22" t="s">
        <v>160</v>
      </c>
      <c r="M38" s="23">
        <f t="shared" si="2"/>
        <v>0</v>
      </c>
      <c r="N38" s="19" t="str">
        <f t="shared" ca="1" si="3"/>
        <v/>
      </c>
      <c r="O38" s="24"/>
      <c r="P38" s="25"/>
    </row>
    <row r="39" spans="1:16" ht="26.4" customHeight="1" x14ac:dyDescent="0.3">
      <c r="A39" s="19" t="s">
        <v>192</v>
      </c>
      <c r="B39" s="20">
        <v>46325</v>
      </c>
      <c r="C39" s="19">
        <f>INT((B39-Panel!$C$5)/7)+1</f>
        <v>5</v>
      </c>
      <c r="D39" s="21" t="s">
        <v>166</v>
      </c>
      <c r="E39" s="19">
        <v>12</v>
      </c>
      <c r="F39" s="21" t="s">
        <v>193</v>
      </c>
      <c r="G39" s="21" t="s">
        <v>194</v>
      </c>
      <c r="H39" s="19">
        <v>3</v>
      </c>
      <c r="I39" s="21" t="s">
        <v>195</v>
      </c>
      <c r="J39" s="21" t="s">
        <v>191</v>
      </c>
      <c r="K39" s="19" t="s">
        <v>180</v>
      </c>
      <c r="L39" s="22" t="s">
        <v>160</v>
      </c>
      <c r="M39" s="23">
        <f t="shared" si="2"/>
        <v>0</v>
      </c>
      <c r="N39" s="19" t="str">
        <f t="shared" ca="1" si="3"/>
        <v/>
      </c>
      <c r="O39" s="24"/>
      <c r="P39" s="25"/>
    </row>
    <row r="40" spans="1:16" ht="26.4" customHeight="1" x14ac:dyDescent="0.3">
      <c r="A40" s="19" t="s">
        <v>196</v>
      </c>
      <c r="B40" s="20">
        <v>46325</v>
      </c>
      <c r="C40" s="19">
        <f>INT((B40-Panel!$C$5)/7)+1</f>
        <v>5</v>
      </c>
      <c r="D40" s="21" t="s">
        <v>166</v>
      </c>
      <c r="E40" s="19">
        <v>12</v>
      </c>
      <c r="F40" s="21" t="s">
        <v>193</v>
      </c>
      <c r="G40" s="21" t="s">
        <v>197</v>
      </c>
      <c r="H40" s="19">
        <v>3</v>
      </c>
      <c r="I40" s="21" t="s">
        <v>198</v>
      </c>
      <c r="J40" s="21" t="s">
        <v>191</v>
      </c>
      <c r="K40" s="19" t="s">
        <v>180</v>
      </c>
      <c r="L40" s="22" t="s">
        <v>160</v>
      </c>
      <c r="M40" s="23">
        <f t="shared" si="2"/>
        <v>0</v>
      </c>
      <c r="N40" s="19" t="str">
        <f t="shared" ca="1" si="3"/>
        <v/>
      </c>
      <c r="O40" s="24"/>
      <c r="P40" s="25"/>
    </row>
    <row r="41" spans="1:16" ht="26.4" customHeight="1" x14ac:dyDescent="0.3">
      <c r="A41" s="19" t="s">
        <v>199</v>
      </c>
      <c r="B41" s="20">
        <v>46330</v>
      </c>
      <c r="C41" s="19">
        <f>INT((B41-Panel!$C$5)/7)+1</f>
        <v>6</v>
      </c>
      <c r="D41" s="21" t="s">
        <v>166</v>
      </c>
      <c r="E41" s="19">
        <v>12</v>
      </c>
      <c r="F41" s="21" t="s">
        <v>193</v>
      </c>
      <c r="G41" s="21" t="s">
        <v>200</v>
      </c>
      <c r="H41" s="19">
        <v>3</v>
      </c>
      <c r="I41" s="21" t="s">
        <v>201</v>
      </c>
      <c r="J41" s="21" t="s">
        <v>191</v>
      </c>
      <c r="K41" s="19" t="s">
        <v>180</v>
      </c>
      <c r="L41" s="22" t="s">
        <v>160</v>
      </c>
      <c r="M41" s="23">
        <f t="shared" si="2"/>
        <v>0</v>
      </c>
      <c r="N41" s="19" t="str">
        <f t="shared" ca="1" si="3"/>
        <v/>
      </c>
      <c r="O41" s="24"/>
      <c r="P41" s="25"/>
    </row>
    <row r="42" spans="1:16" ht="26.4" customHeight="1" x14ac:dyDescent="0.3">
      <c r="A42" s="19" t="s">
        <v>202</v>
      </c>
      <c r="B42" s="20">
        <v>46330</v>
      </c>
      <c r="C42" s="19">
        <f>INT((B42-Panel!$C$5)/7)+1</f>
        <v>6</v>
      </c>
      <c r="D42" s="21" t="s">
        <v>166</v>
      </c>
      <c r="E42" s="19">
        <v>12</v>
      </c>
      <c r="F42" s="21" t="s">
        <v>193</v>
      </c>
      <c r="G42" s="21" t="s">
        <v>203</v>
      </c>
      <c r="H42" s="19">
        <v>3</v>
      </c>
      <c r="I42" s="21" t="s">
        <v>204</v>
      </c>
      <c r="J42" s="21" t="s">
        <v>191</v>
      </c>
      <c r="K42" s="19" t="s">
        <v>180</v>
      </c>
      <c r="L42" s="22" t="s">
        <v>160</v>
      </c>
      <c r="M42" s="23">
        <f t="shared" si="2"/>
        <v>0</v>
      </c>
      <c r="N42" s="19" t="str">
        <f t="shared" ca="1" si="3"/>
        <v/>
      </c>
      <c r="O42" s="24"/>
      <c r="P42" s="25"/>
    </row>
    <row r="43" spans="1:16" ht="26.4" customHeight="1" x14ac:dyDescent="0.3">
      <c r="A43" s="19" t="s">
        <v>205</v>
      </c>
      <c r="B43" s="20">
        <v>46331</v>
      </c>
      <c r="C43" s="19">
        <f>INT((B43-Panel!$C$5)/7)+1</f>
        <v>6</v>
      </c>
      <c r="D43" s="21" t="s">
        <v>166</v>
      </c>
      <c r="E43" s="19">
        <v>13</v>
      </c>
      <c r="F43" s="21" t="s">
        <v>206</v>
      </c>
      <c r="G43" s="21" t="s">
        <v>207</v>
      </c>
      <c r="H43" s="19">
        <v>3</v>
      </c>
      <c r="I43" s="21" t="s">
        <v>208</v>
      </c>
      <c r="J43" s="21" t="s">
        <v>209</v>
      </c>
      <c r="K43" s="19" t="s">
        <v>210</v>
      </c>
      <c r="L43" s="22" t="s">
        <v>160</v>
      </c>
      <c r="M43" s="23">
        <f t="shared" si="2"/>
        <v>0</v>
      </c>
      <c r="N43" s="19" t="str">
        <f t="shared" ca="1" si="3"/>
        <v/>
      </c>
      <c r="O43" s="24"/>
      <c r="P43" s="25"/>
    </row>
    <row r="44" spans="1:16" ht="26.4" customHeight="1" x14ac:dyDescent="0.3">
      <c r="A44" s="19" t="s">
        <v>211</v>
      </c>
      <c r="B44" s="20">
        <v>46331</v>
      </c>
      <c r="C44" s="19">
        <f>INT((B44-Panel!$C$5)/7)+1</f>
        <v>6</v>
      </c>
      <c r="D44" s="21" t="s">
        <v>166</v>
      </c>
      <c r="E44" s="19">
        <v>13</v>
      </c>
      <c r="F44" s="21" t="s">
        <v>206</v>
      </c>
      <c r="G44" s="21" t="s">
        <v>212</v>
      </c>
      <c r="H44" s="19">
        <v>3</v>
      </c>
      <c r="I44" s="21" t="s">
        <v>213</v>
      </c>
      <c r="J44" s="21" t="s">
        <v>209</v>
      </c>
      <c r="K44" s="19" t="s">
        <v>210</v>
      </c>
      <c r="L44" s="22" t="s">
        <v>160</v>
      </c>
      <c r="M44" s="23">
        <f t="shared" si="2"/>
        <v>0</v>
      </c>
      <c r="N44" s="19" t="str">
        <f t="shared" ca="1" si="3"/>
        <v/>
      </c>
      <c r="O44" s="24"/>
      <c r="P44" s="25"/>
    </row>
    <row r="45" spans="1:16" ht="26.4" customHeight="1" x14ac:dyDescent="0.3">
      <c r="A45" s="19" t="s">
        <v>214</v>
      </c>
      <c r="B45" s="20">
        <v>46332</v>
      </c>
      <c r="C45" s="19">
        <f>INT((B45-Panel!$C$5)/7)+1</f>
        <v>6</v>
      </c>
      <c r="D45" s="21" t="s">
        <v>166</v>
      </c>
      <c r="E45" s="19">
        <v>13</v>
      </c>
      <c r="F45" s="21" t="s">
        <v>206</v>
      </c>
      <c r="G45" s="21" t="s">
        <v>215</v>
      </c>
      <c r="H45" s="19">
        <v>3</v>
      </c>
      <c r="I45" s="21" t="s">
        <v>216</v>
      </c>
      <c r="J45" s="21" t="s">
        <v>217</v>
      </c>
      <c r="K45" s="19" t="s">
        <v>210</v>
      </c>
      <c r="L45" s="22" t="s">
        <v>160</v>
      </c>
      <c r="M45" s="23">
        <f t="shared" si="2"/>
        <v>0</v>
      </c>
      <c r="N45" s="19" t="str">
        <f t="shared" ca="1" si="3"/>
        <v/>
      </c>
      <c r="O45" s="24"/>
      <c r="P45" s="25"/>
    </row>
    <row r="46" spans="1:16" ht="26.4" customHeight="1" x14ac:dyDescent="0.3">
      <c r="A46" s="19" t="s">
        <v>218</v>
      </c>
      <c r="B46" s="20">
        <v>46332</v>
      </c>
      <c r="C46" s="19">
        <f>INT((B46-Panel!$C$5)/7)+1</f>
        <v>6</v>
      </c>
      <c r="D46" s="21" t="s">
        <v>166</v>
      </c>
      <c r="E46" s="19">
        <v>13</v>
      </c>
      <c r="F46" s="21" t="s">
        <v>206</v>
      </c>
      <c r="G46" s="21" t="s">
        <v>219</v>
      </c>
      <c r="H46" s="19">
        <v>3</v>
      </c>
      <c r="I46" s="21" t="s">
        <v>220</v>
      </c>
      <c r="J46" s="21" t="s">
        <v>217</v>
      </c>
      <c r="K46" s="19" t="s">
        <v>210</v>
      </c>
      <c r="L46" s="22" t="s">
        <v>160</v>
      </c>
      <c r="M46" s="23">
        <f t="shared" si="2"/>
        <v>0</v>
      </c>
      <c r="N46" s="19" t="str">
        <f t="shared" ca="1" si="3"/>
        <v/>
      </c>
      <c r="O46" s="24"/>
      <c r="P46" s="25"/>
    </row>
    <row r="47" spans="1:16" ht="26.4" customHeight="1" x14ac:dyDescent="0.3">
      <c r="A47" s="19" t="s">
        <v>221</v>
      </c>
      <c r="B47" s="20">
        <v>46335</v>
      </c>
      <c r="C47" s="19">
        <f>INT((B47-Panel!$C$5)/7)+1</f>
        <v>7</v>
      </c>
      <c r="D47" s="21" t="s">
        <v>222</v>
      </c>
      <c r="E47" s="19">
        <v>14</v>
      </c>
      <c r="F47" s="21" t="s">
        <v>223</v>
      </c>
      <c r="G47" s="21" t="s">
        <v>224</v>
      </c>
      <c r="H47" s="19">
        <v>3</v>
      </c>
      <c r="I47" s="21" t="s">
        <v>225</v>
      </c>
      <c r="J47" s="21" t="s">
        <v>226</v>
      </c>
      <c r="K47" s="19" t="s">
        <v>210</v>
      </c>
      <c r="L47" s="22" t="s">
        <v>160</v>
      </c>
      <c r="M47" s="23">
        <f t="shared" si="2"/>
        <v>0</v>
      </c>
      <c r="N47" s="19" t="str">
        <f t="shared" ca="1" si="3"/>
        <v/>
      </c>
      <c r="O47" s="24"/>
      <c r="P47" s="25"/>
    </row>
    <row r="48" spans="1:16" ht="26.4" customHeight="1" x14ac:dyDescent="0.3">
      <c r="A48" s="19" t="s">
        <v>227</v>
      </c>
      <c r="B48" s="20">
        <v>46335</v>
      </c>
      <c r="C48" s="19">
        <f>INT((B48-Panel!$C$5)/7)+1</f>
        <v>7</v>
      </c>
      <c r="D48" s="21" t="s">
        <v>222</v>
      </c>
      <c r="E48" s="19">
        <v>14</v>
      </c>
      <c r="F48" s="21" t="s">
        <v>223</v>
      </c>
      <c r="G48" s="21" t="s">
        <v>228</v>
      </c>
      <c r="H48" s="19">
        <v>3</v>
      </c>
      <c r="I48" s="21" t="s">
        <v>229</v>
      </c>
      <c r="J48" s="21" t="s">
        <v>226</v>
      </c>
      <c r="K48" s="19" t="s">
        <v>210</v>
      </c>
      <c r="L48" s="22" t="s">
        <v>160</v>
      </c>
      <c r="M48" s="23">
        <f t="shared" si="2"/>
        <v>0</v>
      </c>
      <c r="N48" s="19" t="str">
        <f t="shared" ca="1" si="3"/>
        <v/>
      </c>
      <c r="O48" s="24"/>
      <c r="P48" s="25"/>
    </row>
    <row r="49" spans="1:16" ht="26.4" customHeight="1" x14ac:dyDescent="0.3">
      <c r="A49" s="19" t="s">
        <v>230</v>
      </c>
      <c r="B49" s="20">
        <v>46336</v>
      </c>
      <c r="C49" s="19">
        <f>INT((B49-Panel!$C$5)/7)+1</f>
        <v>7</v>
      </c>
      <c r="D49" s="21" t="s">
        <v>222</v>
      </c>
      <c r="E49" s="19">
        <v>14</v>
      </c>
      <c r="F49" s="21" t="s">
        <v>223</v>
      </c>
      <c r="G49" s="21" t="s">
        <v>231</v>
      </c>
      <c r="H49" s="19">
        <v>3</v>
      </c>
      <c r="I49" s="21" t="s">
        <v>232</v>
      </c>
      <c r="J49" s="21" t="s">
        <v>226</v>
      </c>
      <c r="K49" s="19" t="s">
        <v>210</v>
      </c>
      <c r="L49" s="22" t="s">
        <v>160</v>
      </c>
      <c r="M49" s="23">
        <f t="shared" si="2"/>
        <v>0</v>
      </c>
      <c r="N49" s="19" t="str">
        <f t="shared" ca="1" si="3"/>
        <v/>
      </c>
      <c r="O49" s="24"/>
      <c r="P49" s="25"/>
    </row>
    <row r="50" spans="1:16" ht="26.4" customHeight="1" x14ac:dyDescent="0.3">
      <c r="A50" s="19" t="s">
        <v>233</v>
      </c>
      <c r="B50" s="20">
        <v>46336</v>
      </c>
      <c r="C50" s="19">
        <f>INT((B50-Panel!$C$5)/7)+1</f>
        <v>7</v>
      </c>
      <c r="D50" s="21" t="s">
        <v>222</v>
      </c>
      <c r="E50" s="19">
        <v>14</v>
      </c>
      <c r="F50" s="21" t="s">
        <v>223</v>
      </c>
      <c r="G50" s="21" t="s">
        <v>234</v>
      </c>
      <c r="H50" s="19">
        <v>3</v>
      </c>
      <c r="I50" s="21" t="s">
        <v>235</v>
      </c>
      <c r="J50" s="21" t="s">
        <v>226</v>
      </c>
      <c r="K50" s="19" t="s">
        <v>210</v>
      </c>
      <c r="L50" s="22" t="s">
        <v>160</v>
      </c>
      <c r="M50" s="23">
        <f t="shared" si="2"/>
        <v>0</v>
      </c>
      <c r="N50" s="19" t="str">
        <f t="shared" ca="1" si="3"/>
        <v/>
      </c>
      <c r="O50" s="24"/>
      <c r="P50" s="25"/>
    </row>
    <row r="51" spans="1:16" ht="26.4" customHeight="1" x14ac:dyDescent="0.3">
      <c r="A51" s="19" t="s">
        <v>236</v>
      </c>
      <c r="B51" s="20">
        <v>46337</v>
      </c>
      <c r="C51" s="19">
        <f>INT((B51-Panel!$C$5)/7)+1</f>
        <v>7</v>
      </c>
      <c r="D51" s="21" t="s">
        <v>222</v>
      </c>
      <c r="E51" s="19">
        <v>14</v>
      </c>
      <c r="F51" s="21" t="s">
        <v>223</v>
      </c>
      <c r="G51" s="21" t="s">
        <v>237</v>
      </c>
      <c r="H51" s="19">
        <v>3</v>
      </c>
      <c r="I51" s="21" t="s">
        <v>238</v>
      </c>
      <c r="J51" s="21" t="s">
        <v>226</v>
      </c>
      <c r="K51" s="19" t="s">
        <v>210</v>
      </c>
      <c r="L51" s="22" t="s">
        <v>160</v>
      </c>
      <c r="M51" s="23">
        <f t="shared" si="2"/>
        <v>0</v>
      </c>
      <c r="N51" s="19" t="str">
        <f t="shared" ca="1" si="3"/>
        <v/>
      </c>
      <c r="O51" s="24"/>
      <c r="P51" s="25"/>
    </row>
    <row r="52" spans="1:16" ht="26.4" customHeight="1" x14ac:dyDescent="0.3">
      <c r="A52" s="19" t="s">
        <v>239</v>
      </c>
      <c r="B52" s="20">
        <v>46337</v>
      </c>
      <c r="C52" s="19">
        <f>INT((B52-Panel!$C$5)/7)+1</f>
        <v>7</v>
      </c>
      <c r="D52" s="21" t="s">
        <v>222</v>
      </c>
      <c r="E52" s="19">
        <v>14</v>
      </c>
      <c r="F52" s="21" t="s">
        <v>223</v>
      </c>
      <c r="G52" s="21" t="s">
        <v>240</v>
      </c>
      <c r="H52" s="19">
        <v>3</v>
      </c>
      <c r="I52" s="21" t="s">
        <v>241</v>
      </c>
      <c r="J52" s="21" t="s">
        <v>226</v>
      </c>
      <c r="K52" s="19" t="s">
        <v>210</v>
      </c>
      <c r="L52" s="22" t="s">
        <v>160</v>
      </c>
      <c r="M52" s="23">
        <f t="shared" si="2"/>
        <v>0</v>
      </c>
      <c r="N52" s="19" t="str">
        <f t="shared" ca="1" si="3"/>
        <v/>
      </c>
      <c r="O52" s="24"/>
      <c r="P52" s="25"/>
    </row>
    <row r="53" spans="1:16" ht="26.4" customHeight="1" x14ac:dyDescent="0.3">
      <c r="A53" s="19" t="s">
        <v>242</v>
      </c>
      <c r="B53" s="20">
        <v>46338</v>
      </c>
      <c r="C53" s="19">
        <f>INT((B53-Panel!$C$5)/7)+1</f>
        <v>7</v>
      </c>
      <c r="D53" s="21" t="s">
        <v>222</v>
      </c>
      <c r="E53" s="19">
        <v>15</v>
      </c>
      <c r="F53" s="21" t="s">
        <v>243</v>
      </c>
      <c r="G53" s="21" t="s">
        <v>244</v>
      </c>
      <c r="H53" s="19">
        <v>3</v>
      </c>
      <c r="I53" s="21" t="s">
        <v>245</v>
      </c>
      <c r="J53" s="21" t="s">
        <v>246</v>
      </c>
      <c r="K53" s="19" t="s">
        <v>210</v>
      </c>
      <c r="L53" s="22" t="s">
        <v>160</v>
      </c>
      <c r="M53" s="23">
        <f t="shared" si="2"/>
        <v>0</v>
      </c>
      <c r="N53" s="19" t="str">
        <f t="shared" ca="1" si="3"/>
        <v/>
      </c>
      <c r="O53" s="24"/>
      <c r="P53" s="25"/>
    </row>
    <row r="54" spans="1:16" ht="26.4" customHeight="1" x14ac:dyDescent="0.3">
      <c r="A54" s="19" t="s">
        <v>247</v>
      </c>
      <c r="B54" s="20">
        <v>46338</v>
      </c>
      <c r="C54" s="19">
        <f>INT((B54-Panel!$C$5)/7)+1</f>
        <v>7</v>
      </c>
      <c r="D54" s="21" t="s">
        <v>222</v>
      </c>
      <c r="E54" s="19">
        <v>15</v>
      </c>
      <c r="F54" s="21" t="s">
        <v>243</v>
      </c>
      <c r="G54" s="21" t="s">
        <v>248</v>
      </c>
      <c r="H54" s="19">
        <v>3</v>
      </c>
      <c r="I54" s="21" t="s">
        <v>249</v>
      </c>
      <c r="J54" s="21" t="s">
        <v>246</v>
      </c>
      <c r="K54" s="19" t="s">
        <v>210</v>
      </c>
      <c r="L54" s="22" t="s">
        <v>160</v>
      </c>
      <c r="M54" s="23">
        <f t="shared" si="2"/>
        <v>0</v>
      </c>
      <c r="N54" s="19" t="str">
        <f t="shared" ca="1" si="3"/>
        <v/>
      </c>
      <c r="O54" s="24"/>
      <c r="P54" s="25"/>
    </row>
    <row r="55" spans="1:16" ht="26.4" customHeight="1" x14ac:dyDescent="0.3">
      <c r="A55" s="19" t="s">
        <v>250</v>
      </c>
      <c r="B55" s="20">
        <v>46339</v>
      </c>
      <c r="C55" s="19">
        <f>INT((B55-Panel!$C$5)/7)+1</f>
        <v>7</v>
      </c>
      <c r="D55" s="21" t="s">
        <v>222</v>
      </c>
      <c r="E55" s="19">
        <v>15</v>
      </c>
      <c r="F55" s="21" t="s">
        <v>243</v>
      </c>
      <c r="G55" s="21" t="s">
        <v>251</v>
      </c>
      <c r="H55" s="19">
        <v>3</v>
      </c>
      <c r="I55" s="21" t="s">
        <v>252</v>
      </c>
      <c r="J55" s="21" t="s">
        <v>246</v>
      </c>
      <c r="K55" s="19" t="s">
        <v>210</v>
      </c>
      <c r="L55" s="22" t="s">
        <v>160</v>
      </c>
      <c r="M55" s="23">
        <f t="shared" si="2"/>
        <v>0</v>
      </c>
      <c r="N55" s="19" t="str">
        <f t="shared" ca="1" si="3"/>
        <v/>
      </c>
      <c r="O55" s="24"/>
      <c r="P55" s="25"/>
    </row>
    <row r="56" spans="1:16" ht="26.4" customHeight="1" x14ac:dyDescent="0.3">
      <c r="A56" s="19" t="s">
        <v>253</v>
      </c>
      <c r="B56" s="20">
        <v>46339</v>
      </c>
      <c r="C56" s="19">
        <f>INT((B56-Panel!$C$5)/7)+1</f>
        <v>7</v>
      </c>
      <c r="D56" s="21" t="s">
        <v>222</v>
      </c>
      <c r="E56" s="19">
        <v>15</v>
      </c>
      <c r="F56" s="21" t="s">
        <v>243</v>
      </c>
      <c r="G56" s="21" t="s">
        <v>254</v>
      </c>
      <c r="H56" s="19">
        <v>3</v>
      </c>
      <c r="I56" s="21" t="s">
        <v>255</v>
      </c>
      <c r="J56" s="21" t="s">
        <v>226</v>
      </c>
      <c r="K56" s="19" t="s">
        <v>210</v>
      </c>
      <c r="L56" s="22" t="s">
        <v>160</v>
      </c>
      <c r="M56" s="23">
        <f t="shared" si="2"/>
        <v>0</v>
      </c>
      <c r="N56" s="19" t="str">
        <f t="shared" ca="1" si="3"/>
        <v/>
      </c>
      <c r="O56" s="24"/>
      <c r="P56" s="25"/>
    </row>
    <row r="57" spans="1:16" ht="26.4" customHeight="1" x14ac:dyDescent="0.3">
      <c r="A57" s="19" t="s">
        <v>256</v>
      </c>
      <c r="B57" s="20">
        <v>46342</v>
      </c>
      <c r="C57" s="19">
        <f>INT((B57-Panel!$C$5)/7)+1</f>
        <v>8</v>
      </c>
      <c r="D57" s="21" t="s">
        <v>257</v>
      </c>
      <c r="E57" s="19">
        <v>16</v>
      </c>
      <c r="F57" s="21" t="s">
        <v>258</v>
      </c>
      <c r="G57" s="21" t="s">
        <v>259</v>
      </c>
      <c r="H57" s="19">
        <v>3</v>
      </c>
      <c r="I57" s="21" t="s">
        <v>260</v>
      </c>
      <c r="J57" s="21" t="s">
        <v>261</v>
      </c>
      <c r="K57" s="19" t="s">
        <v>262</v>
      </c>
      <c r="L57" s="22" t="s">
        <v>160</v>
      </c>
      <c r="M57" s="23">
        <f t="shared" si="2"/>
        <v>0</v>
      </c>
      <c r="N57" s="19" t="str">
        <f t="shared" ca="1" si="3"/>
        <v/>
      </c>
      <c r="O57" s="24"/>
      <c r="P57" s="25"/>
    </row>
    <row r="58" spans="1:16" ht="26.4" customHeight="1" x14ac:dyDescent="0.3">
      <c r="A58" s="19" t="s">
        <v>263</v>
      </c>
      <c r="B58" s="20">
        <v>46342</v>
      </c>
      <c r="C58" s="19">
        <f>INT((B58-Panel!$C$5)/7)+1</f>
        <v>8</v>
      </c>
      <c r="D58" s="21" t="s">
        <v>257</v>
      </c>
      <c r="E58" s="19">
        <v>16</v>
      </c>
      <c r="F58" s="21" t="s">
        <v>258</v>
      </c>
      <c r="G58" s="21" t="s">
        <v>264</v>
      </c>
      <c r="H58" s="19">
        <v>3</v>
      </c>
      <c r="I58" s="21" t="s">
        <v>265</v>
      </c>
      <c r="J58" s="21" t="s">
        <v>261</v>
      </c>
      <c r="K58" s="19" t="s">
        <v>262</v>
      </c>
      <c r="L58" s="22" t="s">
        <v>160</v>
      </c>
      <c r="M58" s="23">
        <f t="shared" si="2"/>
        <v>0</v>
      </c>
      <c r="N58" s="19" t="str">
        <f t="shared" ca="1" si="3"/>
        <v/>
      </c>
      <c r="O58" s="24"/>
      <c r="P58" s="25"/>
    </row>
    <row r="59" spans="1:16" ht="26.4" customHeight="1" x14ac:dyDescent="0.3">
      <c r="A59" s="19" t="s">
        <v>266</v>
      </c>
      <c r="B59" s="20">
        <v>46343</v>
      </c>
      <c r="C59" s="19">
        <f>INT((B59-Panel!$C$5)/7)+1</f>
        <v>8</v>
      </c>
      <c r="D59" s="21" t="s">
        <v>257</v>
      </c>
      <c r="E59" s="19">
        <v>17</v>
      </c>
      <c r="F59" s="21" t="s">
        <v>267</v>
      </c>
      <c r="G59" s="21" t="s">
        <v>268</v>
      </c>
      <c r="H59" s="19">
        <v>3</v>
      </c>
      <c r="I59" s="21" t="s">
        <v>269</v>
      </c>
      <c r="J59" s="21" t="s">
        <v>270</v>
      </c>
      <c r="K59" s="19" t="s">
        <v>262</v>
      </c>
      <c r="L59" s="22" t="s">
        <v>160</v>
      </c>
      <c r="M59" s="23">
        <f t="shared" si="2"/>
        <v>0</v>
      </c>
      <c r="N59" s="19" t="str">
        <f t="shared" ca="1" si="3"/>
        <v/>
      </c>
      <c r="O59" s="24"/>
      <c r="P59" s="25"/>
    </row>
    <row r="60" spans="1:16" ht="26.4" customHeight="1" x14ac:dyDescent="0.3">
      <c r="A60" s="19" t="s">
        <v>271</v>
      </c>
      <c r="B60" s="20">
        <v>46343</v>
      </c>
      <c r="C60" s="19">
        <f>INT((B60-Panel!$C$5)/7)+1</f>
        <v>8</v>
      </c>
      <c r="D60" s="21" t="s">
        <v>257</v>
      </c>
      <c r="E60" s="19">
        <v>17</v>
      </c>
      <c r="F60" s="21" t="s">
        <v>267</v>
      </c>
      <c r="G60" s="21" t="s">
        <v>272</v>
      </c>
      <c r="H60" s="19">
        <v>3</v>
      </c>
      <c r="I60" s="21" t="s">
        <v>273</v>
      </c>
      <c r="J60" s="21" t="s">
        <v>270</v>
      </c>
      <c r="K60" s="19" t="s">
        <v>262</v>
      </c>
      <c r="L60" s="22" t="s">
        <v>160</v>
      </c>
      <c r="M60" s="23">
        <f t="shared" si="2"/>
        <v>0</v>
      </c>
      <c r="N60" s="19" t="str">
        <f t="shared" ca="1" si="3"/>
        <v/>
      </c>
      <c r="O60" s="24"/>
      <c r="P60" s="25"/>
    </row>
    <row r="61" spans="1:16" ht="26.4" customHeight="1" x14ac:dyDescent="0.3">
      <c r="A61" s="19" t="s">
        <v>274</v>
      </c>
      <c r="B61" s="20">
        <v>46344</v>
      </c>
      <c r="C61" s="19">
        <f>INT((B61-Panel!$C$5)/7)+1</f>
        <v>8</v>
      </c>
      <c r="D61" s="21" t="s">
        <v>275</v>
      </c>
      <c r="E61" s="19">
        <v>18</v>
      </c>
      <c r="F61" s="21" t="s">
        <v>276</v>
      </c>
      <c r="G61" s="21" t="s">
        <v>277</v>
      </c>
      <c r="H61" s="19">
        <v>3</v>
      </c>
      <c r="I61" s="21" t="s">
        <v>278</v>
      </c>
      <c r="J61" s="21" t="s">
        <v>279</v>
      </c>
      <c r="K61" s="19" t="s">
        <v>280</v>
      </c>
      <c r="L61" s="22" t="s">
        <v>160</v>
      </c>
      <c r="M61" s="23">
        <f t="shared" si="2"/>
        <v>0</v>
      </c>
      <c r="N61" s="19" t="str">
        <f t="shared" ca="1" si="3"/>
        <v/>
      </c>
      <c r="O61" s="24"/>
      <c r="P61" s="25"/>
    </row>
    <row r="62" spans="1:16" ht="26.4" customHeight="1" x14ac:dyDescent="0.3">
      <c r="A62" s="19" t="s">
        <v>281</v>
      </c>
      <c r="B62" s="20">
        <v>46344</v>
      </c>
      <c r="C62" s="19">
        <f>INT((B62-Panel!$C$5)/7)+1</f>
        <v>8</v>
      </c>
      <c r="D62" s="21" t="s">
        <v>275</v>
      </c>
      <c r="E62" s="19">
        <v>18</v>
      </c>
      <c r="F62" s="21" t="s">
        <v>276</v>
      </c>
      <c r="G62" s="21" t="s">
        <v>282</v>
      </c>
      <c r="H62" s="19">
        <v>3</v>
      </c>
      <c r="I62" s="21" t="s">
        <v>283</v>
      </c>
      <c r="J62" s="21" t="s">
        <v>279</v>
      </c>
      <c r="K62" s="19" t="s">
        <v>280</v>
      </c>
      <c r="L62" s="22" t="s">
        <v>160</v>
      </c>
      <c r="M62" s="23">
        <f t="shared" si="2"/>
        <v>0</v>
      </c>
      <c r="N62" s="19" t="str">
        <f t="shared" ca="1" si="3"/>
        <v/>
      </c>
      <c r="O62" s="24"/>
      <c r="P62" s="25"/>
    </row>
    <row r="63" spans="1:16" ht="26.4" customHeight="1" x14ac:dyDescent="0.3">
      <c r="A63" s="19" t="s">
        <v>284</v>
      </c>
      <c r="B63" s="20">
        <v>46345</v>
      </c>
      <c r="C63" s="19">
        <f>INT((B63-Panel!$C$5)/7)+1</f>
        <v>8</v>
      </c>
      <c r="D63" s="21" t="s">
        <v>275</v>
      </c>
      <c r="E63" s="19">
        <v>18</v>
      </c>
      <c r="F63" s="21" t="s">
        <v>276</v>
      </c>
      <c r="G63" s="21" t="s">
        <v>285</v>
      </c>
      <c r="H63" s="19">
        <v>3</v>
      </c>
      <c r="I63" s="21" t="s">
        <v>286</v>
      </c>
      <c r="J63" s="21" t="s">
        <v>279</v>
      </c>
      <c r="K63" s="19" t="s">
        <v>280</v>
      </c>
      <c r="L63" s="22" t="s">
        <v>160</v>
      </c>
      <c r="M63" s="23">
        <f t="shared" si="2"/>
        <v>0</v>
      </c>
      <c r="N63" s="19" t="str">
        <f t="shared" ca="1" si="3"/>
        <v/>
      </c>
      <c r="O63" s="24"/>
      <c r="P63" s="25"/>
    </row>
    <row r="64" spans="1:16" ht="26.4" customHeight="1" x14ac:dyDescent="0.3">
      <c r="A64" s="19" t="s">
        <v>287</v>
      </c>
      <c r="B64" s="20">
        <v>46345</v>
      </c>
      <c r="C64" s="19">
        <f>INT((B64-Panel!$C$5)/7)+1</f>
        <v>8</v>
      </c>
      <c r="D64" s="21" t="s">
        <v>275</v>
      </c>
      <c r="E64" s="19">
        <v>18</v>
      </c>
      <c r="F64" s="21" t="s">
        <v>276</v>
      </c>
      <c r="G64" s="21" t="s">
        <v>288</v>
      </c>
      <c r="H64" s="19">
        <v>3</v>
      </c>
      <c r="I64" s="21" t="s">
        <v>289</v>
      </c>
      <c r="J64" s="21" t="s">
        <v>279</v>
      </c>
      <c r="K64" s="19" t="s">
        <v>280</v>
      </c>
      <c r="L64" s="22" t="s">
        <v>160</v>
      </c>
      <c r="M64" s="23">
        <f t="shared" si="2"/>
        <v>0</v>
      </c>
      <c r="N64" s="19" t="str">
        <f t="shared" ca="1" si="3"/>
        <v/>
      </c>
      <c r="O64" s="24"/>
      <c r="P64" s="25"/>
    </row>
    <row r="65" spans="1:16" ht="26.4" customHeight="1" x14ac:dyDescent="0.3">
      <c r="A65" s="19" t="s">
        <v>290</v>
      </c>
      <c r="B65" s="20">
        <v>46346</v>
      </c>
      <c r="C65" s="19">
        <f>INT((B65-Panel!$C$5)/7)+1</f>
        <v>8</v>
      </c>
      <c r="D65" s="21" t="s">
        <v>275</v>
      </c>
      <c r="E65" s="19">
        <v>18</v>
      </c>
      <c r="F65" s="21" t="s">
        <v>276</v>
      </c>
      <c r="G65" s="21" t="s">
        <v>291</v>
      </c>
      <c r="H65" s="19">
        <v>3</v>
      </c>
      <c r="I65" s="21" t="s">
        <v>292</v>
      </c>
      <c r="J65" s="21" t="s">
        <v>279</v>
      </c>
      <c r="K65" s="19" t="s">
        <v>280</v>
      </c>
      <c r="L65" s="22" t="s">
        <v>160</v>
      </c>
      <c r="M65" s="23">
        <f t="shared" si="2"/>
        <v>0</v>
      </c>
      <c r="N65" s="19" t="str">
        <f t="shared" ca="1" si="3"/>
        <v/>
      </c>
      <c r="O65" s="24"/>
      <c r="P65" s="25"/>
    </row>
    <row r="66" spans="1:16" ht="26.4" customHeight="1" x14ac:dyDescent="0.3">
      <c r="A66" s="19" t="s">
        <v>293</v>
      </c>
      <c r="B66" s="20">
        <v>46346</v>
      </c>
      <c r="C66" s="19">
        <f>INT((B66-Panel!$C$5)/7)+1</f>
        <v>8</v>
      </c>
      <c r="D66" s="21" t="s">
        <v>275</v>
      </c>
      <c r="E66" s="19">
        <v>18</v>
      </c>
      <c r="F66" s="21" t="s">
        <v>276</v>
      </c>
      <c r="G66" s="21" t="s">
        <v>294</v>
      </c>
      <c r="H66" s="19">
        <v>3</v>
      </c>
      <c r="I66" s="21" t="s">
        <v>295</v>
      </c>
      <c r="J66" s="21" t="s">
        <v>279</v>
      </c>
      <c r="K66" s="19" t="s">
        <v>280</v>
      </c>
      <c r="L66" s="22" t="s">
        <v>160</v>
      </c>
      <c r="M66" s="23">
        <f t="shared" si="2"/>
        <v>0</v>
      </c>
      <c r="N66" s="19" t="str">
        <f t="shared" ca="1" si="3"/>
        <v/>
      </c>
      <c r="O66" s="24"/>
      <c r="P66" s="25"/>
    </row>
    <row r="67" spans="1:16" ht="26.4" customHeight="1" x14ac:dyDescent="0.3">
      <c r="A67" s="19" t="s">
        <v>296</v>
      </c>
      <c r="B67" s="20">
        <v>46349</v>
      </c>
      <c r="C67" s="19">
        <f>INT((B67-Panel!$C$5)/7)+1</f>
        <v>9</v>
      </c>
      <c r="D67" s="21" t="s">
        <v>275</v>
      </c>
      <c r="E67" s="19">
        <v>19</v>
      </c>
      <c r="F67" s="21" t="s">
        <v>297</v>
      </c>
      <c r="G67" s="21" t="s">
        <v>298</v>
      </c>
      <c r="H67" s="19">
        <v>3</v>
      </c>
      <c r="I67" s="21" t="s">
        <v>299</v>
      </c>
      <c r="J67" s="21" t="s">
        <v>279</v>
      </c>
      <c r="K67" s="19" t="s">
        <v>280</v>
      </c>
      <c r="L67" s="22" t="s">
        <v>160</v>
      </c>
      <c r="M67" s="23">
        <f t="shared" si="2"/>
        <v>0</v>
      </c>
      <c r="N67" s="19" t="str">
        <f t="shared" ca="1" si="3"/>
        <v/>
      </c>
      <c r="O67" s="24"/>
      <c r="P67" s="25"/>
    </row>
    <row r="68" spans="1:16" ht="26.4" customHeight="1" x14ac:dyDescent="0.3">
      <c r="A68" s="19" t="s">
        <v>300</v>
      </c>
      <c r="B68" s="20">
        <v>46349</v>
      </c>
      <c r="C68" s="19">
        <f>INT((B68-Panel!$C$5)/7)+1</f>
        <v>9</v>
      </c>
      <c r="D68" s="21" t="s">
        <v>275</v>
      </c>
      <c r="E68" s="19">
        <v>19</v>
      </c>
      <c r="F68" s="21" t="s">
        <v>297</v>
      </c>
      <c r="G68" s="21" t="s">
        <v>301</v>
      </c>
      <c r="H68" s="19">
        <v>3</v>
      </c>
      <c r="I68" s="21" t="s">
        <v>302</v>
      </c>
      <c r="J68" s="21" t="s">
        <v>279</v>
      </c>
      <c r="K68" s="19" t="s">
        <v>280</v>
      </c>
      <c r="L68" s="22" t="s">
        <v>160</v>
      </c>
      <c r="M68" s="23">
        <f t="shared" si="2"/>
        <v>0</v>
      </c>
      <c r="N68" s="19" t="str">
        <f t="shared" ca="1" si="3"/>
        <v/>
      </c>
      <c r="O68" s="24"/>
      <c r="P68" s="25"/>
    </row>
    <row r="69" spans="1:16" ht="26.4" customHeight="1" x14ac:dyDescent="0.3">
      <c r="A69" s="19" t="s">
        <v>303</v>
      </c>
      <c r="B69" s="20">
        <v>46350</v>
      </c>
      <c r="C69" s="19">
        <f>INT((B69-Panel!$C$5)/7)+1</f>
        <v>9</v>
      </c>
      <c r="D69" s="21" t="s">
        <v>275</v>
      </c>
      <c r="E69" s="19">
        <v>19</v>
      </c>
      <c r="F69" s="21" t="s">
        <v>297</v>
      </c>
      <c r="G69" s="21" t="s">
        <v>304</v>
      </c>
      <c r="H69" s="19">
        <v>3</v>
      </c>
      <c r="I69" s="21" t="s">
        <v>305</v>
      </c>
      <c r="J69" s="21" t="s">
        <v>306</v>
      </c>
      <c r="K69" s="19" t="s">
        <v>280</v>
      </c>
      <c r="L69" s="22" t="s">
        <v>160</v>
      </c>
      <c r="M69" s="23">
        <f t="shared" ref="M69:M84" si="4">IF(L69="Completado",1,IF(L69="En curso",0.5,0))</f>
        <v>0</v>
      </c>
      <c r="N69" s="19" t="str">
        <f t="shared" ref="N69:N84" ca="1" si="5">IF(L69="Completado","",IF(B69&lt;TODAY(),"Atrasada",IF(B69=TODAY(),"Hoy","")))</f>
        <v/>
      </c>
      <c r="O69" s="24"/>
      <c r="P69" s="25"/>
    </row>
    <row r="70" spans="1:16" ht="26.4" customHeight="1" x14ac:dyDescent="0.3">
      <c r="A70" s="19" t="s">
        <v>307</v>
      </c>
      <c r="B70" s="20">
        <v>46350</v>
      </c>
      <c r="C70" s="19">
        <f>INT((B70-Panel!$C$5)/7)+1</f>
        <v>9</v>
      </c>
      <c r="D70" s="21" t="s">
        <v>275</v>
      </c>
      <c r="E70" s="19">
        <v>19</v>
      </c>
      <c r="F70" s="21" t="s">
        <v>297</v>
      </c>
      <c r="G70" s="21" t="s">
        <v>308</v>
      </c>
      <c r="H70" s="19">
        <v>3</v>
      </c>
      <c r="I70" s="21" t="s">
        <v>309</v>
      </c>
      <c r="J70" s="21" t="s">
        <v>279</v>
      </c>
      <c r="K70" s="19" t="s">
        <v>280</v>
      </c>
      <c r="L70" s="22" t="s">
        <v>160</v>
      </c>
      <c r="M70" s="23">
        <f t="shared" si="4"/>
        <v>0</v>
      </c>
      <c r="N70" s="19" t="str">
        <f t="shared" ca="1" si="5"/>
        <v/>
      </c>
      <c r="O70" s="24"/>
      <c r="P70" s="25"/>
    </row>
    <row r="71" spans="1:16" ht="26.4" customHeight="1" x14ac:dyDescent="0.3">
      <c r="A71" s="19" t="s">
        <v>310</v>
      </c>
      <c r="B71" s="20">
        <v>46351</v>
      </c>
      <c r="C71" s="19">
        <f>INT((B71-Panel!$C$5)/7)+1</f>
        <v>9</v>
      </c>
      <c r="D71" s="21" t="s">
        <v>275</v>
      </c>
      <c r="E71" s="19">
        <v>20</v>
      </c>
      <c r="F71" s="21" t="s">
        <v>311</v>
      </c>
      <c r="G71" s="21" t="s">
        <v>312</v>
      </c>
      <c r="H71" s="19">
        <v>3</v>
      </c>
      <c r="I71" s="21" t="s">
        <v>313</v>
      </c>
      <c r="J71" s="21" t="s">
        <v>279</v>
      </c>
      <c r="K71" s="19" t="s">
        <v>280</v>
      </c>
      <c r="L71" s="22" t="s">
        <v>160</v>
      </c>
      <c r="M71" s="23">
        <f t="shared" si="4"/>
        <v>0</v>
      </c>
      <c r="N71" s="19" t="str">
        <f t="shared" ca="1" si="5"/>
        <v/>
      </c>
      <c r="O71" s="24"/>
      <c r="P71" s="25"/>
    </row>
    <row r="72" spans="1:16" ht="26.4" customHeight="1" x14ac:dyDescent="0.3">
      <c r="A72" s="19" t="s">
        <v>314</v>
      </c>
      <c r="B72" s="20">
        <v>46351</v>
      </c>
      <c r="C72" s="19">
        <f>INT((B72-Panel!$C$5)/7)+1</f>
        <v>9</v>
      </c>
      <c r="D72" s="21" t="s">
        <v>275</v>
      </c>
      <c r="E72" s="19">
        <v>20</v>
      </c>
      <c r="F72" s="21" t="s">
        <v>311</v>
      </c>
      <c r="G72" s="21" t="s">
        <v>315</v>
      </c>
      <c r="H72" s="19">
        <v>3</v>
      </c>
      <c r="I72" s="21" t="s">
        <v>316</v>
      </c>
      <c r="J72" s="21" t="s">
        <v>306</v>
      </c>
      <c r="K72" s="19" t="s">
        <v>280</v>
      </c>
      <c r="L72" s="22" t="s">
        <v>160</v>
      </c>
      <c r="M72" s="23">
        <f t="shared" si="4"/>
        <v>0</v>
      </c>
      <c r="N72" s="19" t="str">
        <f t="shared" ca="1" si="5"/>
        <v/>
      </c>
      <c r="O72" s="24"/>
      <c r="P72" s="25"/>
    </row>
    <row r="73" spans="1:16" ht="26.4" customHeight="1" x14ac:dyDescent="0.3">
      <c r="A73" s="19" t="s">
        <v>317</v>
      </c>
      <c r="B73" s="20">
        <v>46352</v>
      </c>
      <c r="C73" s="19">
        <f>INT((B73-Panel!$C$5)/7)+1</f>
        <v>9</v>
      </c>
      <c r="D73" s="21" t="s">
        <v>318</v>
      </c>
      <c r="E73" s="19">
        <v>21</v>
      </c>
      <c r="F73" s="21" t="s">
        <v>319</v>
      </c>
      <c r="G73" s="21" t="s">
        <v>320</v>
      </c>
      <c r="H73" s="19">
        <v>3</v>
      </c>
      <c r="I73" s="21" t="s">
        <v>321</v>
      </c>
      <c r="J73" s="21" t="s">
        <v>322</v>
      </c>
      <c r="K73" s="19" t="s">
        <v>323</v>
      </c>
      <c r="L73" s="22" t="s">
        <v>160</v>
      </c>
      <c r="M73" s="23">
        <f t="shared" si="4"/>
        <v>0</v>
      </c>
      <c r="N73" s="19" t="str">
        <f t="shared" ca="1" si="5"/>
        <v/>
      </c>
      <c r="O73" s="24"/>
      <c r="P73" s="25"/>
    </row>
    <row r="74" spans="1:16" ht="26.4" customHeight="1" x14ac:dyDescent="0.3">
      <c r="A74" s="19" t="s">
        <v>324</v>
      </c>
      <c r="B74" s="20">
        <v>46352</v>
      </c>
      <c r="C74" s="19">
        <f>INT((B74-Panel!$C$5)/7)+1</f>
        <v>9</v>
      </c>
      <c r="D74" s="21" t="s">
        <v>318</v>
      </c>
      <c r="E74" s="19">
        <v>21</v>
      </c>
      <c r="F74" s="21" t="s">
        <v>319</v>
      </c>
      <c r="G74" s="21" t="s">
        <v>325</v>
      </c>
      <c r="H74" s="19">
        <v>3</v>
      </c>
      <c r="I74" s="21" t="s">
        <v>326</v>
      </c>
      <c r="J74" s="21" t="s">
        <v>322</v>
      </c>
      <c r="K74" s="19" t="s">
        <v>323</v>
      </c>
      <c r="L74" s="22" t="s">
        <v>160</v>
      </c>
      <c r="M74" s="23">
        <f t="shared" si="4"/>
        <v>0</v>
      </c>
      <c r="N74" s="19" t="str">
        <f t="shared" ca="1" si="5"/>
        <v/>
      </c>
      <c r="O74" s="24"/>
      <c r="P74" s="25"/>
    </row>
    <row r="75" spans="1:16" ht="26.4" customHeight="1" x14ac:dyDescent="0.3">
      <c r="A75" s="19" t="s">
        <v>327</v>
      </c>
      <c r="B75" s="20">
        <v>46353</v>
      </c>
      <c r="C75" s="19">
        <f>INT((B75-Panel!$C$5)/7)+1</f>
        <v>9</v>
      </c>
      <c r="D75" s="21" t="s">
        <v>318</v>
      </c>
      <c r="E75" s="19">
        <v>21</v>
      </c>
      <c r="F75" s="21" t="s">
        <v>319</v>
      </c>
      <c r="G75" s="21" t="s">
        <v>328</v>
      </c>
      <c r="H75" s="19">
        <v>3</v>
      </c>
      <c r="I75" s="21" t="s">
        <v>329</v>
      </c>
      <c r="J75" s="21" t="s">
        <v>322</v>
      </c>
      <c r="K75" s="19" t="s">
        <v>323</v>
      </c>
      <c r="L75" s="22" t="s">
        <v>160</v>
      </c>
      <c r="M75" s="23">
        <f t="shared" si="4"/>
        <v>0</v>
      </c>
      <c r="N75" s="19" t="str">
        <f t="shared" ca="1" si="5"/>
        <v/>
      </c>
      <c r="O75" s="24"/>
      <c r="P75" s="25"/>
    </row>
    <row r="76" spans="1:16" ht="26.4" customHeight="1" x14ac:dyDescent="0.3">
      <c r="A76" s="19" t="s">
        <v>330</v>
      </c>
      <c r="B76" s="20">
        <v>46353</v>
      </c>
      <c r="C76" s="19">
        <f>INT((B76-Panel!$C$5)/7)+1</f>
        <v>9</v>
      </c>
      <c r="D76" s="21" t="s">
        <v>318</v>
      </c>
      <c r="E76" s="19">
        <v>21</v>
      </c>
      <c r="F76" s="21" t="s">
        <v>319</v>
      </c>
      <c r="G76" s="21" t="s">
        <v>331</v>
      </c>
      <c r="H76" s="19">
        <v>3</v>
      </c>
      <c r="I76" s="21" t="s">
        <v>332</v>
      </c>
      <c r="J76" s="21" t="s">
        <v>322</v>
      </c>
      <c r="K76" s="19" t="s">
        <v>323</v>
      </c>
      <c r="L76" s="22" t="s">
        <v>160</v>
      </c>
      <c r="M76" s="23">
        <f t="shared" si="4"/>
        <v>0</v>
      </c>
      <c r="N76" s="19" t="str">
        <f t="shared" ca="1" si="5"/>
        <v/>
      </c>
      <c r="O76" s="24"/>
      <c r="P76" s="25"/>
    </row>
    <row r="77" spans="1:16" ht="26.4" customHeight="1" x14ac:dyDescent="0.3">
      <c r="A77" s="19" t="s">
        <v>333</v>
      </c>
      <c r="B77" s="20">
        <v>46356</v>
      </c>
      <c r="C77" s="19">
        <f>INT((B77-Panel!$C$5)/7)+1</f>
        <v>10</v>
      </c>
      <c r="D77" s="21" t="s">
        <v>318</v>
      </c>
      <c r="E77" s="19">
        <v>22</v>
      </c>
      <c r="F77" s="21" t="s">
        <v>334</v>
      </c>
      <c r="G77" s="21" t="s">
        <v>335</v>
      </c>
      <c r="H77" s="19">
        <v>3</v>
      </c>
      <c r="I77" s="21" t="s">
        <v>336</v>
      </c>
      <c r="J77" s="21" t="s">
        <v>337</v>
      </c>
      <c r="K77" s="19" t="s">
        <v>323</v>
      </c>
      <c r="L77" s="22" t="s">
        <v>160</v>
      </c>
      <c r="M77" s="23">
        <f t="shared" si="4"/>
        <v>0</v>
      </c>
      <c r="N77" s="19" t="str">
        <f t="shared" ca="1" si="5"/>
        <v/>
      </c>
      <c r="O77" s="24"/>
      <c r="P77" s="25"/>
    </row>
    <row r="78" spans="1:16" ht="26.4" customHeight="1" x14ac:dyDescent="0.3">
      <c r="A78" s="19" t="s">
        <v>338</v>
      </c>
      <c r="B78" s="20">
        <v>46356</v>
      </c>
      <c r="C78" s="19">
        <f>INT((B78-Panel!$C$5)/7)+1</f>
        <v>10</v>
      </c>
      <c r="D78" s="21" t="s">
        <v>318</v>
      </c>
      <c r="E78" s="19">
        <v>22</v>
      </c>
      <c r="F78" s="21" t="s">
        <v>334</v>
      </c>
      <c r="G78" s="21" t="s">
        <v>339</v>
      </c>
      <c r="H78" s="19">
        <v>3</v>
      </c>
      <c r="I78" s="21" t="s">
        <v>340</v>
      </c>
      <c r="J78" s="21" t="s">
        <v>337</v>
      </c>
      <c r="K78" s="19" t="s">
        <v>323</v>
      </c>
      <c r="L78" s="22" t="s">
        <v>160</v>
      </c>
      <c r="M78" s="23">
        <f t="shared" si="4"/>
        <v>0</v>
      </c>
      <c r="N78" s="19" t="str">
        <f t="shared" ca="1" si="5"/>
        <v/>
      </c>
      <c r="O78" s="24"/>
      <c r="P78" s="25"/>
    </row>
    <row r="79" spans="1:16" ht="26.4" customHeight="1" x14ac:dyDescent="0.3">
      <c r="A79" s="19" t="s">
        <v>341</v>
      </c>
      <c r="B79" s="20">
        <v>46357</v>
      </c>
      <c r="C79" s="19">
        <f>INT((B79-Panel!$C$5)/7)+1</f>
        <v>10</v>
      </c>
      <c r="D79" s="21" t="s">
        <v>342</v>
      </c>
      <c r="E79" s="19">
        <v>23</v>
      </c>
      <c r="F79" s="21" t="s">
        <v>343</v>
      </c>
      <c r="G79" s="21" t="s">
        <v>344</v>
      </c>
      <c r="H79" s="19">
        <v>3</v>
      </c>
      <c r="I79" s="21" t="s">
        <v>345</v>
      </c>
      <c r="J79" s="21" t="s">
        <v>346</v>
      </c>
      <c r="K79" s="19" t="s">
        <v>347</v>
      </c>
      <c r="L79" s="22" t="s">
        <v>160</v>
      </c>
      <c r="M79" s="23">
        <f t="shared" si="4"/>
        <v>0</v>
      </c>
      <c r="N79" s="19" t="str">
        <f t="shared" ca="1" si="5"/>
        <v/>
      </c>
      <c r="O79" s="24"/>
      <c r="P79" s="25"/>
    </row>
    <row r="80" spans="1:16" ht="26.4" customHeight="1" x14ac:dyDescent="0.3">
      <c r="A80" s="19" t="s">
        <v>348</v>
      </c>
      <c r="B80" s="20">
        <v>46357</v>
      </c>
      <c r="C80" s="19">
        <f>INT((B80-Panel!$C$5)/7)+1</f>
        <v>10</v>
      </c>
      <c r="D80" s="21" t="s">
        <v>342</v>
      </c>
      <c r="E80" s="19">
        <v>23</v>
      </c>
      <c r="F80" s="21" t="s">
        <v>343</v>
      </c>
      <c r="G80" s="21" t="s">
        <v>349</v>
      </c>
      <c r="H80" s="19">
        <v>3</v>
      </c>
      <c r="I80" s="21" t="s">
        <v>350</v>
      </c>
      <c r="J80" s="21" t="s">
        <v>346</v>
      </c>
      <c r="K80" s="19" t="s">
        <v>347</v>
      </c>
      <c r="L80" s="22" t="s">
        <v>160</v>
      </c>
      <c r="M80" s="23">
        <f t="shared" si="4"/>
        <v>0</v>
      </c>
      <c r="N80" s="19" t="str">
        <f t="shared" ca="1" si="5"/>
        <v/>
      </c>
      <c r="O80" s="24"/>
      <c r="P80" s="25"/>
    </row>
    <row r="81" spans="1:16" ht="26.4" customHeight="1" x14ac:dyDescent="0.3">
      <c r="A81" s="19" t="s">
        <v>351</v>
      </c>
      <c r="B81" s="20">
        <v>46373</v>
      </c>
      <c r="C81" s="19">
        <f>INT((B81-Panel!$C$5)/7)+1</f>
        <v>12</v>
      </c>
      <c r="D81" s="21" t="s">
        <v>342</v>
      </c>
      <c r="E81" s="19">
        <v>23</v>
      </c>
      <c r="F81" s="21" t="s">
        <v>343</v>
      </c>
      <c r="G81" s="21" t="s">
        <v>352</v>
      </c>
      <c r="H81" s="19">
        <v>3</v>
      </c>
      <c r="I81" s="21" t="s">
        <v>353</v>
      </c>
      <c r="J81" s="21" t="s">
        <v>346</v>
      </c>
      <c r="K81" s="19" t="s">
        <v>347</v>
      </c>
      <c r="L81" s="22" t="s">
        <v>160</v>
      </c>
      <c r="M81" s="23">
        <f t="shared" si="4"/>
        <v>0</v>
      </c>
      <c r="N81" s="19" t="str">
        <f t="shared" ca="1" si="5"/>
        <v/>
      </c>
      <c r="O81" s="24"/>
      <c r="P81" s="25"/>
    </row>
    <row r="82" spans="1:16" ht="26.4" customHeight="1" x14ac:dyDescent="0.3">
      <c r="A82" s="19" t="s">
        <v>354</v>
      </c>
      <c r="B82" s="20">
        <v>46373</v>
      </c>
      <c r="C82" s="19">
        <f>INT((B82-Panel!$C$5)/7)+1</f>
        <v>12</v>
      </c>
      <c r="D82" s="21" t="s">
        <v>342</v>
      </c>
      <c r="E82" s="19">
        <v>23</v>
      </c>
      <c r="F82" s="21" t="s">
        <v>343</v>
      </c>
      <c r="G82" s="21" t="s">
        <v>355</v>
      </c>
      <c r="H82" s="19">
        <v>3</v>
      </c>
      <c r="I82" s="21" t="s">
        <v>356</v>
      </c>
      <c r="J82" s="21" t="s">
        <v>346</v>
      </c>
      <c r="K82" s="19" t="s">
        <v>347</v>
      </c>
      <c r="L82" s="22" t="s">
        <v>160</v>
      </c>
      <c r="M82" s="23">
        <f t="shared" si="4"/>
        <v>0</v>
      </c>
      <c r="N82" s="19" t="str">
        <f t="shared" ca="1" si="5"/>
        <v/>
      </c>
      <c r="O82" s="24"/>
      <c r="P82" s="25"/>
    </row>
    <row r="83" spans="1:16" ht="26.4" customHeight="1" x14ac:dyDescent="0.3">
      <c r="A83" s="19" t="s">
        <v>357</v>
      </c>
      <c r="B83" s="20">
        <v>46374</v>
      </c>
      <c r="C83" s="19">
        <f>INT((B83-Panel!$C$5)/7)+1</f>
        <v>12</v>
      </c>
      <c r="D83" s="21" t="s">
        <v>342</v>
      </c>
      <c r="E83" s="19">
        <v>24</v>
      </c>
      <c r="F83" s="21" t="s">
        <v>358</v>
      </c>
      <c r="G83" s="21" t="s">
        <v>359</v>
      </c>
      <c r="H83" s="19">
        <v>3</v>
      </c>
      <c r="I83" s="21" t="s">
        <v>360</v>
      </c>
      <c r="J83" s="21" t="s">
        <v>361</v>
      </c>
      <c r="K83" s="19" t="s">
        <v>347</v>
      </c>
      <c r="L83" s="22" t="s">
        <v>160</v>
      </c>
      <c r="M83" s="23">
        <f t="shared" si="4"/>
        <v>0</v>
      </c>
      <c r="N83" s="19" t="str">
        <f t="shared" ca="1" si="5"/>
        <v/>
      </c>
      <c r="O83" s="24"/>
      <c r="P83" s="25"/>
    </row>
    <row r="84" spans="1:16" ht="26.4" customHeight="1" x14ac:dyDescent="0.3">
      <c r="A84" s="19" t="s">
        <v>362</v>
      </c>
      <c r="B84" s="20">
        <v>46374</v>
      </c>
      <c r="C84" s="19">
        <f>INT((B84-Panel!$C$5)/7)+1</f>
        <v>12</v>
      </c>
      <c r="D84" s="21" t="s">
        <v>342</v>
      </c>
      <c r="E84" s="19">
        <v>24</v>
      </c>
      <c r="F84" s="21" t="s">
        <v>358</v>
      </c>
      <c r="G84" s="21" t="s">
        <v>363</v>
      </c>
      <c r="H84" s="19">
        <v>3</v>
      </c>
      <c r="I84" s="21" t="s">
        <v>364</v>
      </c>
      <c r="J84" s="21" t="s">
        <v>361</v>
      </c>
      <c r="K84" s="19" t="s">
        <v>347</v>
      </c>
      <c r="L84" s="22" t="s">
        <v>160</v>
      </c>
      <c r="M84" s="23">
        <f t="shared" si="4"/>
        <v>0</v>
      </c>
      <c r="N84" s="19" t="str">
        <f t="shared" ca="1" si="5"/>
        <v/>
      </c>
      <c r="O84" s="24"/>
      <c r="P84" s="25"/>
    </row>
    <row r="85" spans="1:16" x14ac:dyDescent="0.3">
      <c r="G85" s="26" t="s">
        <v>365</v>
      </c>
      <c r="H85" s="26">
        <f>SUM(H5:H84)</f>
        <v>240</v>
      </c>
      <c r="L85" s="26" t="s">
        <v>366</v>
      </c>
      <c r="M85" s="27">
        <f>SUMPRODUCT(H5:H84,M5:M84)/H85</f>
        <v>0.3</v>
      </c>
    </row>
  </sheetData>
  <autoFilter ref="A4:P84" xr:uid="{00000000-0009-0000-0000-000001000000}"/>
  <conditionalFormatting sqref="L5:L84">
    <cfRule type="cellIs" dxfId="7" priority="1" operator="equal">
      <formula>"Completado"</formula>
    </cfRule>
    <cfRule type="cellIs" dxfId="6" priority="2" operator="equal">
      <formula>"En curso"</formula>
    </cfRule>
  </conditionalFormatting>
  <conditionalFormatting sqref="M5:M84">
    <cfRule type="dataBar" priority="5">
      <dataBar>
        <cfvo type="num" val="0"/>
        <cfvo type="num" val="1"/>
        <color rgb="FF5B9BD5"/>
      </dataBar>
    </cfRule>
  </conditionalFormatting>
  <conditionalFormatting sqref="N5:N84">
    <cfRule type="cellIs" dxfId="5" priority="3" operator="equal">
      <formula>"Atrasada"</formula>
    </cfRule>
    <cfRule type="cellIs" dxfId="4" priority="4" operator="equal">
      <formula>"Hoy"</formula>
    </cfRule>
  </conditionalFormatting>
  <dataValidations count="1">
    <dataValidation type="list" sqref="L5:L84" xr:uid="{00000000-0002-0000-0100-000000000000}">
      <formula1>"Pendiente,En curso,Completado"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pane xSplit="2" ySplit="4" topLeftCell="C5" activePane="bottomRight" state="frozen"/>
      <selection pane="topRight"/>
      <selection pane="bottomLeft"/>
      <selection pane="bottomRight" activeCell="H9" sqref="H9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60" customWidth="1"/>
    <col min="4" max="4" width="10" customWidth="1"/>
    <col min="5" max="6" width="14" customWidth="1"/>
    <col min="7" max="7" width="16" customWidth="1"/>
    <col min="8" max="8" width="12" customWidth="1"/>
    <col min="9" max="9" width="16" customWidth="1"/>
    <col min="10" max="10" width="12" customWidth="1"/>
    <col min="11" max="11" width="40" customWidth="1"/>
  </cols>
  <sheetData>
    <row r="1" spans="1:11" ht="17.399999999999999" customHeight="1" x14ac:dyDescent="0.3">
      <c r="A1" s="1" t="s">
        <v>402</v>
      </c>
    </row>
    <row r="2" spans="1:11" x14ac:dyDescent="0.3">
      <c r="A2" s="2" t="s">
        <v>403</v>
      </c>
    </row>
    <row r="4" spans="1:11" ht="39.6" customHeight="1" x14ac:dyDescent="0.3">
      <c r="A4" s="14" t="s">
        <v>12</v>
      </c>
      <c r="B4" s="14" t="s">
        <v>404</v>
      </c>
      <c r="C4" s="14" t="s">
        <v>405</v>
      </c>
      <c r="D4" s="14" t="s">
        <v>406</v>
      </c>
      <c r="E4" s="14" t="s">
        <v>407</v>
      </c>
      <c r="F4" s="14" t="s">
        <v>408</v>
      </c>
      <c r="G4" s="14" t="s">
        <v>409</v>
      </c>
      <c r="H4" s="14" t="s">
        <v>410</v>
      </c>
      <c r="I4" s="14" t="s">
        <v>13</v>
      </c>
      <c r="J4" s="14" t="s">
        <v>379</v>
      </c>
      <c r="K4" s="14" t="s">
        <v>17</v>
      </c>
    </row>
    <row r="5" spans="1:11" ht="52.8" customHeight="1" x14ac:dyDescent="0.3">
      <c r="A5" s="28" t="s">
        <v>24</v>
      </c>
      <c r="B5" s="21" t="s">
        <v>411</v>
      </c>
      <c r="C5" s="21" t="s">
        <v>412</v>
      </c>
      <c r="D5" s="19" t="s">
        <v>413</v>
      </c>
      <c r="E5" s="20">
        <v>46295</v>
      </c>
      <c r="F5" s="24"/>
      <c r="G5" s="24"/>
      <c r="H5" s="22" t="s">
        <v>414</v>
      </c>
      <c r="I5" s="22" t="s">
        <v>160</v>
      </c>
      <c r="J5" s="19" t="str">
        <f>IFERROR(COUNTIFS(Itinerario!$K$5:$K$84,A5,Itinerario!$L$5:$L$84,"Completado")&amp;" / "&amp;COUNTIF(Itinerario!$K$5:$K$84,A5),"")</f>
        <v>6 / 6</v>
      </c>
      <c r="K5" s="25" t="s">
        <v>415</v>
      </c>
    </row>
    <row r="6" spans="1:11" ht="26.4" customHeight="1" x14ac:dyDescent="0.3">
      <c r="A6" s="28" t="s">
        <v>56</v>
      </c>
      <c r="B6" s="21" t="s">
        <v>416</v>
      </c>
      <c r="C6" s="21" t="s">
        <v>417</v>
      </c>
      <c r="D6" s="19" t="s">
        <v>418</v>
      </c>
      <c r="E6" s="20">
        <v>46297</v>
      </c>
      <c r="F6" s="24"/>
      <c r="G6" s="24"/>
      <c r="H6" s="22"/>
      <c r="I6" s="22" t="s">
        <v>160</v>
      </c>
      <c r="J6" s="19" t="str">
        <f>IFERROR(COUNTIFS(Itinerario!$K$5:$K$84,A6,Itinerario!$L$5:$L$84,"Completado")&amp;" / "&amp;COUNTIF(Itinerario!$K$5:$K$84,A6),"")</f>
        <v>4 / 4</v>
      </c>
      <c r="K6" s="25"/>
    </row>
    <row r="7" spans="1:11" ht="26.4" customHeight="1" x14ac:dyDescent="0.3">
      <c r="A7" s="28" t="s">
        <v>77</v>
      </c>
      <c r="B7" s="21" t="s">
        <v>419</v>
      </c>
      <c r="C7" s="21" t="s">
        <v>420</v>
      </c>
      <c r="D7" s="19" t="s">
        <v>421</v>
      </c>
      <c r="E7" s="20">
        <v>46304</v>
      </c>
      <c r="F7" s="24"/>
      <c r="G7" s="24"/>
      <c r="H7" s="22"/>
      <c r="I7" s="22" t="s">
        <v>160</v>
      </c>
      <c r="J7" s="19" t="str">
        <f>IFERROR(COUNTIFS(Itinerario!$K$5:$K$84,A7,Itinerario!$L$5:$L$84,"Completado")&amp;" / "&amp;COUNTIF(Itinerario!$K$5:$K$84,A7),"")</f>
        <v>10 / 10</v>
      </c>
      <c r="K7" s="25"/>
    </row>
    <row r="8" spans="1:11" ht="39.6" customHeight="1" x14ac:dyDescent="0.3">
      <c r="A8" s="28" t="s">
        <v>129</v>
      </c>
      <c r="B8" s="21" t="s">
        <v>422</v>
      </c>
      <c r="C8" s="21" t="s">
        <v>423</v>
      </c>
      <c r="D8" s="19" t="s">
        <v>424</v>
      </c>
      <c r="E8" s="20">
        <v>46309</v>
      </c>
      <c r="F8" s="24"/>
      <c r="G8" s="24"/>
      <c r="H8" s="22"/>
      <c r="I8" s="22" t="s">
        <v>160</v>
      </c>
      <c r="J8" s="19" t="str">
        <f>IFERROR(COUNTIFS(Itinerario!$K$5:$K$84,A8,Itinerario!$L$5:$L$84,"Completado")&amp;" / "&amp;COUNTIF(Itinerario!$K$5:$K$84,A8),"")</f>
        <v>2 / 6</v>
      </c>
      <c r="K8" s="25"/>
    </row>
    <row r="9" spans="1:11" ht="26.4" customHeight="1" x14ac:dyDescent="0.3">
      <c r="A9" s="28" t="s">
        <v>159</v>
      </c>
      <c r="B9" s="21" t="s">
        <v>425</v>
      </c>
      <c r="C9" s="21" t="s">
        <v>426</v>
      </c>
      <c r="D9" s="19" t="s">
        <v>427</v>
      </c>
      <c r="E9" s="20">
        <v>46321</v>
      </c>
      <c r="F9" s="24"/>
      <c r="G9" s="24"/>
      <c r="H9" s="22"/>
      <c r="I9" s="22" t="s">
        <v>160</v>
      </c>
      <c r="J9" s="19" t="str">
        <f>IFERROR(COUNTIFS(Itinerario!$K$5:$K$84,A9,Itinerario!$L$5:$L$84,"Completado")&amp;" / "&amp;COUNTIF(Itinerario!$K$5:$K$84,A9),"")</f>
        <v>0 / 2</v>
      </c>
      <c r="K9" s="25"/>
    </row>
    <row r="10" spans="1:11" ht="26.4" customHeight="1" x14ac:dyDescent="0.3">
      <c r="A10" s="28" t="s">
        <v>171</v>
      </c>
      <c r="B10" s="21" t="s">
        <v>428</v>
      </c>
      <c r="C10" s="21" t="s">
        <v>429</v>
      </c>
      <c r="D10" s="19" t="s">
        <v>430</v>
      </c>
      <c r="E10" s="20">
        <v>46322</v>
      </c>
      <c r="F10" s="24"/>
      <c r="G10" s="24"/>
      <c r="H10" s="22"/>
      <c r="I10" s="22" t="s">
        <v>160</v>
      </c>
      <c r="J10" s="19" t="str">
        <f>IFERROR(COUNTIFS(Itinerario!$K$5:$K$84,A10,Itinerario!$L$5:$L$84,"Completado")&amp;" / "&amp;COUNTIF(Itinerario!$K$5:$K$84,A10),"")</f>
        <v>0 / 2</v>
      </c>
      <c r="K10" s="25"/>
    </row>
    <row r="11" spans="1:11" x14ac:dyDescent="0.3">
      <c r="A11" s="28" t="s">
        <v>180</v>
      </c>
      <c r="B11" s="21" t="s">
        <v>431</v>
      </c>
      <c r="C11" s="21" t="s">
        <v>432</v>
      </c>
      <c r="D11" s="19" t="s">
        <v>433</v>
      </c>
      <c r="E11" s="20">
        <v>46330</v>
      </c>
      <c r="F11" s="24"/>
      <c r="G11" s="24"/>
      <c r="H11" s="22"/>
      <c r="I11" s="22" t="s">
        <v>160</v>
      </c>
      <c r="J11" s="19" t="str">
        <f>IFERROR(COUNTIFS(Itinerario!$K$5:$K$84,A11,Itinerario!$L$5:$L$84,"Completado")&amp;" / "&amp;COUNTIF(Itinerario!$K$5:$K$84,A11),"")</f>
        <v>0 / 8</v>
      </c>
      <c r="K11" s="25"/>
    </row>
    <row r="12" spans="1:11" ht="26.4" customHeight="1" x14ac:dyDescent="0.3">
      <c r="A12" s="28" t="s">
        <v>210</v>
      </c>
      <c r="B12" s="21" t="s">
        <v>434</v>
      </c>
      <c r="C12" s="21" t="s">
        <v>435</v>
      </c>
      <c r="D12" s="19" t="s">
        <v>436</v>
      </c>
      <c r="E12" s="20">
        <v>46339</v>
      </c>
      <c r="F12" s="24"/>
      <c r="G12" s="24"/>
      <c r="H12" s="22"/>
      <c r="I12" s="22" t="s">
        <v>160</v>
      </c>
      <c r="J12" s="19" t="str">
        <f>IFERROR(COUNTIFS(Itinerario!$K$5:$K$84,A12,Itinerario!$L$5:$L$84,"Completado")&amp;" / "&amp;COUNTIF(Itinerario!$K$5:$K$84,A12),"")</f>
        <v>0 / 14</v>
      </c>
      <c r="K12" s="25"/>
    </row>
    <row r="13" spans="1:11" ht="26.4" customHeight="1" x14ac:dyDescent="0.3">
      <c r="A13" s="28" t="s">
        <v>262</v>
      </c>
      <c r="B13" s="21" t="s">
        <v>437</v>
      </c>
      <c r="C13" s="21" t="s">
        <v>438</v>
      </c>
      <c r="D13" s="19" t="s">
        <v>439</v>
      </c>
      <c r="E13" s="20">
        <v>46343</v>
      </c>
      <c r="F13" s="24"/>
      <c r="G13" s="24"/>
      <c r="H13" s="22"/>
      <c r="I13" s="22" t="s">
        <v>160</v>
      </c>
      <c r="J13" s="19" t="str">
        <f>IFERROR(COUNTIFS(Itinerario!$K$5:$K$84,A13,Itinerario!$L$5:$L$84,"Completado")&amp;" / "&amp;COUNTIF(Itinerario!$K$5:$K$84,A13),"")</f>
        <v>0 / 4</v>
      </c>
      <c r="K13" s="25"/>
    </row>
    <row r="14" spans="1:11" ht="26.4" customHeight="1" x14ac:dyDescent="0.3">
      <c r="A14" s="28" t="s">
        <v>280</v>
      </c>
      <c r="B14" s="21" t="s">
        <v>440</v>
      </c>
      <c r="C14" s="21" t="s">
        <v>441</v>
      </c>
      <c r="D14" s="19" t="s">
        <v>442</v>
      </c>
      <c r="E14" s="20">
        <v>46351</v>
      </c>
      <c r="F14" s="24"/>
      <c r="G14" s="24"/>
      <c r="H14" s="22"/>
      <c r="I14" s="22" t="s">
        <v>160</v>
      </c>
      <c r="J14" s="19" t="str">
        <f>IFERROR(COUNTIFS(Itinerario!$K$5:$K$84,A14,Itinerario!$L$5:$L$84,"Completado")&amp;" / "&amp;COUNTIF(Itinerario!$K$5:$K$84,A14),"")</f>
        <v>0 / 12</v>
      </c>
      <c r="K14" s="25"/>
    </row>
    <row r="15" spans="1:11" ht="26.4" customHeight="1" x14ac:dyDescent="0.3">
      <c r="A15" s="28" t="s">
        <v>323</v>
      </c>
      <c r="B15" s="21" t="s">
        <v>443</v>
      </c>
      <c r="C15" s="21" t="s">
        <v>444</v>
      </c>
      <c r="D15" s="19" t="s">
        <v>445</v>
      </c>
      <c r="E15" s="20">
        <v>46356</v>
      </c>
      <c r="F15" s="24"/>
      <c r="G15" s="24"/>
      <c r="H15" s="22"/>
      <c r="I15" s="22" t="s">
        <v>160</v>
      </c>
      <c r="J15" s="19" t="str">
        <f>IFERROR(COUNTIFS(Itinerario!$K$5:$K$84,A15,Itinerario!$L$5:$L$84,"Completado")&amp;" / "&amp;COUNTIF(Itinerario!$K$5:$K$84,A15),"")</f>
        <v>0 / 6</v>
      </c>
      <c r="K15" s="25"/>
    </row>
    <row r="16" spans="1:11" x14ac:dyDescent="0.3">
      <c r="A16" s="28" t="s">
        <v>347</v>
      </c>
      <c r="B16" s="21" t="s">
        <v>446</v>
      </c>
      <c r="C16" s="21" t="s">
        <v>447</v>
      </c>
      <c r="D16" s="19" t="s">
        <v>448</v>
      </c>
      <c r="E16" s="20">
        <v>46374</v>
      </c>
      <c r="F16" s="24"/>
      <c r="G16" s="24"/>
      <c r="H16" s="22"/>
      <c r="I16" s="22" t="s">
        <v>160</v>
      </c>
      <c r="J16" s="19" t="str">
        <f>IFERROR(COUNTIFS(Itinerario!$K$5:$K$84,A16,Itinerario!$L$5:$L$84,"Completado")&amp;" / "&amp;COUNTIF(Itinerario!$K$5:$K$84,A16),"")</f>
        <v>0 / 6</v>
      </c>
      <c r="K16" s="25"/>
    </row>
  </sheetData>
  <conditionalFormatting sqref="I5:I16">
    <cfRule type="cellIs" dxfId="3" priority="1" operator="equal">
      <formula>"Aprobado"</formula>
    </cfRule>
    <cfRule type="cellIs" dxfId="2" priority="2" operator="equal">
      <formula>"Enviado"</formula>
    </cfRule>
    <cfRule type="cellIs" dxfId="1" priority="3" operator="equal">
      <formula>"Con correcciones"</formula>
    </cfRule>
  </conditionalFormatting>
  <dataValidations count="1">
    <dataValidation type="list" sqref="I5:I16" xr:uid="{00000000-0002-0000-0200-000000000000}">
      <formula1>"Pendiente,Enviado,Con correcciones,Aprobado"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/>
  </sheetViews>
  <sheetFormatPr baseColWidth="10" defaultColWidth="8.88671875" defaultRowHeight="14.4" x14ac:dyDescent="0.3"/>
  <cols>
    <col min="1" max="1" width="6" customWidth="1"/>
    <col min="2" max="2" width="42" customWidth="1"/>
    <col min="3" max="3" width="70" customWidth="1"/>
    <col min="4" max="4" width="14" customWidth="1"/>
    <col min="5" max="5" width="40" customWidth="1"/>
  </cols>
  <sheetData>
    <row r="1" spans="1:5" ht="17.399999999999999" customHeight="1" x14ac:dyDescent="0.3">
      <c r="A1" s="1" t="s">
        <v>449</v>
      </c>
    </row>
    <row r="2" spans="1:5" x14ac:dyDescent="0.3">
      <c r="A2" s="2" t="s">
        <v>450</v>
      </c>
    </row>
    <row r="4" spans="1:5" x14ac:dyDescent="0.3">
      <c r="A4" s="14" t="s">
        <v>6</v>
      </c>
      <c r="B4" s="14" t="s">
        <v>451</v>
      </c>
      <c r="C4" s="14" t="s">
        <v>452</v>
      </c>
      <c r="D4" s="14" t="s">
        <v>13</v>
      </c>
      <c r="E4" s="14" t="s">
        <v>453</v>
      </c>
    </row>
    <row r="5" spans="1:5" ht="26.4" customHeight="1" x14ac:dyDescent="0.3">
      <c r="A5" s="19">
        <v>1</v>
      </c>
      <c r="B5" s="21" t="s">
        <v>454</v>
      </c>
      <c r="C5" s="21" t="s">
        <v>455</v>
      </c>
      <c r="D5" s="22" t="s">
        <v>456</v>
      </c>
      <c r="E5" s="25"/>
    </row>
    <row r="6" spans="1:5" x14ac:dyDescent="0.3">
      <c r="A6" s="19">
        <v>2</v>
      </c>
      <c r="B6" s="21" t="s">
        <v>457</v>
      </c>
      <c r="C6" s="21" t="s">
        <v>458</v>
      </c>
      <c r="D6" s="22" t="s">
        <v>456</v>
      </c>
      <c r="E6" s="25"/>
    </row>
    <row r="7" spans="1:5" ht="26.4" customHeight="1" x14ac:dyDescent="0.3">
      <c r="A7" s="19">
        <v>3</v>
      </c>
      <c r="B7" s="21" t="s">
        <v>459</v>
      </c>
      <c r="C7" s="21" t="s">
        <v>460</v>
      </c>
      <c r="D7" s="22" t="s">
        <v>456</v>
      </c>
      <c r="E7" s="25"/>
    </row>
    <row r="8" spans="1:5" ht="26.4" customHeight="1" x14ac:dyDescent="0.3">
      <c r="A8" s="19">
        <v>4</v>
      </c>
      <c r="B8" s="21" t="s">
        <v>461</v>
      </c>
      <c r="C8" s="21" t="s">
        <v>462</v>
      </c>
      <c r="D8" s="22" t="s">
        <v>456</v>
      </c>
      <c r="E8" s="25"/>
    </row>
    <row r="9" spans="1:5" ht="26.4" customHeight="1" x14ac:dyDescent="0.3">
      <c r="A9" s="19">
        <v>5</v>
      </c>
      <c r="B9" s="21" t="s">
        <v>463</v>
      </c>
      <c r="C9" s="21" t="s">
        <v>464</v>
      </c>
      <c r="D9" s="22" t="s">
        <v>456</v>
      </c>
      <c r="E9" s="25"/>
    </row>
    <row r="10" spans="1:5" x14ac:dyDescent="0.3">
      <c r="A10" s="19">
        <v>6</v>
      </c>
      <c r="B10" s="21" t="s">
        <v>465</v>
      </c>
      <c r="C10" s="21" t="s">
        <v>466</v>
      </c>
      <c r="D10" s="22" t="s">
        <v>456</v>
      </c>
      <c r="E10" s="25"/>
    </row>
    <row r="11" spans="1:5" ht="26.4" customHeight="1" x14ac:dyDescent="0.3">
      <c r="A11" s="19">
        <v>7</v>
      </c>
      <c r="B11" s="21" t="s">
        <v>467</v>
      </c>
      <c r="C11" s="21" t="s">
        <v>468</v>
      </c>
      <c r="D11" s="22" t="s">
        <v>456</v>
      </c>
      <c r="E11" s="25"/>
    </row>
    <row r="12" spans="1:5" ht="26.4" customHeight="1" x14ac:dyDescent="0.3">
      <c r="A12" s="19">
        <v>8</v>
      </c>
      <c r="B12" s="21" t="s">
        <v>469</v>
      </c>
      <c r="C12" s="21" t="s">
        <v>470</v>
      </c>
      <c r="D12" s="22" t="s">
        <v>456</v>
      </c>
      <c r="E12" s="25"/>
    </row>
    <row r="13" spans="1:5" x14ac:dyDescent="0.3">
      <c r="A13" s="19">
        <v>9</v>
      </c>
      <c r="B13" s="21" t="s">
        <v>471</v>
      </c>
      <c r="C13" s="21" t="s">
        <v>472</v>
      </c>
      <c r="D13" s="22" t="s">
        <v>456</v>
      </c>
      <c r="E13" s="25"/>
    </row>
    <row r="14" spans="1:5" x14ac:dyDescent="0.3">
      <c r="A14" s="19">
        <v>10</v>
      </c>
      <c r="B14" s="21" t="s">
        <v>473</v>
      </c>
      <c r="C14" s="21" t="s">
        <v>474</v>
      </c>
      <c r="D14" s="22" t="s">
        <v>456</v>
      </c>
      <c r="E14" s="25"/>
    </row>
    <row r="15" spans="1:5" x14ac:dyDescent="0.3">
      <c r="A15" s="19">
        <v>11</v>
      </c>
      <c r="B15" s="21" t="s">
        <v>475</v>
      </c>
      <c r="C15" s="21" t="s">
        <v>476</v>
      </c>
      <c r="D15" s="22" t="s">
        <v>456</v>
      </c>
      <c r="E15" s="25"/>
    </row>
    <row r="16" spans="1:5" x14ac:dyDescent="0.3">
      <c r="A16" s="19">
        <v>12</v>
      </c>
      <c r="B16" s="21" t="s">
        <v>477</v>
      </c>
      <c r="C16" s="21" t="s">
        <v>478</v>
      </c>
      <c r="D16" s="22" t="s">
        <v>456</v>
      </c>
      <c r="E16" s="25"/>
    </row>
    <row r="17" spans="1:5" x14ac:dyDescent="0.3">
      <c r="A17" s="19">
        <v>13</v>
      </c>
      <c r="B17" s="21" t="s">
        <v>479</v>
      </c>
      <c r="C17" s="21" t="s">
        <v>480</v>
      </c>
      <c r="D17" s="22" t="s">
        <v>456</v>
      </c>
      <c r="E17" s="25"/>
    </row>
    <row r="18" spans="1:5" x14ac:dyDescent="0.3">
      <c r="A18" s="19">
        <v>14</v>
      </c>
      <c r="B18" s="21" t="s">
        <v>481</v>
      </c>
      <c r="C18" s="21" t="s">
        <v>482</v>
      </c>
      <c r="D18" s="22" t="s">
        <v>456</v>
      </c>
      <c r="E18" s="25"/>
    </row>
    <row r="19" spans="1:5" ht="26.4" customHeight="1" x14ac:dyDescent="0.3">
      <c r="A19" s="19">
        <v>15</v>
      </c>
      <c r="B19" s="21" t="s">
        <v>483</v>
      </c>
      <c r="C19" s="21" t="s">
        <v>484</v>
      </c>
      <c r="D19" s="22" t="s">
        <v>456</v>
      </c>
      <c r="E19" s="25"/>
    </row>
    <row r="20" spans="1:5" ht="26.4" customHeight="1" x14ac:dyDescent="0.3">
      <c r="A20" s="19">
        <v>16</v>
      </c>
      <c r="B20" s="21" t="s">
        <v>485</v>
      </c>
      <c r="C20" s="21" t="s">
        <v>486</v>
      </c>
      <c r="D20" s="22" t="s">
        <v>456</v>
      </c>
      <c r="E20" s="25"/>
    </row>
    <row r="21" spans="1:5" x14ac:dyDescent="0.3">
      <c r="A21" s="19">
        <v>17</v>
      </c>
      <c r="B21" s="21" t="s">
        <v>487</v>
      </c>
      <c r="C21" s="21" t="s">
        <v>488</v>
      </c>
      <c r="D21" s="22" t="s">
        <v>456</v>
      </c>
      <c r="E21" s="25"/>
    </row>
    <row r="22" spans="1:5" x14ac:dyDescent="0.3">
      <c r="A22" s="19">
        <v>18</v>
      </c>
      <c r="B22" s="21" t="s">
        <v>489</v>
      </c>
      <c r="C22" s="21" t="s">
        <v>490</v>
      </c>
      <c r="D22" s="22" t="s">
        <v>456</v>
      </c>
      <c r="E22" s="25"/>
    </row>
    <row r="24" spans="1:5" x14ac:dyDescent="0.3">
      <c r="B24" s="26" t="s">
        <v>491</v>
      </c>
      <c r="D24" s="29">
        <f>COUNTIF(D5:D22,"Revisado")/COUNTA(D5:D22)</f>
        <v>1</v>
      </c>
    </row>
  </sheetData>
  <conditionalFormatting sqref="D5:D22">
    <cfRule type="cellIs" dxfId="0" priority="1" operator="equal">
      <formula>"Revisado"</formula>
    </cfRule>
  </conditionalFormatting>
  <dataValidations count="1">
    <dataValidation type="list" sqref="D5:D22" xr:uid="{00000000-0002-0000-0300-000000000000}">
      <formula1>"Pendiente,Revisado"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Panel</vt:lpstr>
      <vt:lpstr>Itinerario</vt:lpstr>
      <vt:lpstr>Avances</vt:lpstr>
      <vt:lpstr>Checklist_Protocolo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JOSE LLUMIQUINGA �ACATO</cp:lastModifiedBy>
  <dcterms:created xsi:type="dcterms:W3CDTF">2026-10-01T23:31:09Z</dcterms:created>
  <dcterms:modified xsi:type="dcterms:W3CDTF">2026-10-02T19:31:40Z</dcterms:modified>
</cp:coreProperties>
</file>